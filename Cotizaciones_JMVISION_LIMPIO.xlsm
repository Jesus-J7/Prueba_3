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tyles.xml" ContentType="application/vnd.openxmlformats-officedocument.spreadsheetml.styles+xml"/>
  <Override PartName="/xl/drawings/drawing1.xml" ContentType="application/vnd.openxmlformats-officedocument.drawing+xml"/>
</Types>
</file>

<file path=_rels/.rels><?xml version="1.0" encoding="UTF-8" standalone="yes"?>
<Relationships xmlns="http://schemas.openxmlformats.org/package/2006/relationships">
<Relationship Id="rId1" Type="http://schemas.openxmlformats.org/officeDocument/2006/relationships/officeDocument" Target="xl/workbook.xml"/>
</Relationships>
</file>

<file path=xl/workbook.xml><?xml version="1.0" encoding="utf-8"?>
<workbook xmlns="http://schemas.openxmlformats.org/spreadsheetml/2006/main" xmlns:r="http://schemas.openxmlformats.org/officeDocument/2006/relationships">
  <sheets>
    <sheet name="PRODUCTOS" sheetId="1" r:id="rId1"/>
    <sheet name="CLIENTES" sheetId="2" r:id="rId2"/>
    <sheet name="COTIZACION" sheetId="3" r:id="rId3"/>
    <sheet name="HISTORICO_COTIZACIONES" sheetId="4" r:id="rId4"/>
    <sheet name="VENTAS" sheetId="5" r:id="rId5"/>
    <sheet name="DASHBOARD" sheetId="6" r:id="rId6"/>
  </sheets>
  <definedNames>
    <definedName name="_xlnm.Print_Area" localSheetId="2">COTIZACION!$A$1:$G$51</definedName>
    <definedName name="_xlnm.Print_Titles" localSheetId="2">COTIZACION!$7:$7</definedName>
  </definedNames>
</workbook>
</file>

<file path=xl/styles.xml><?xml version="1.0" encoding="utf-8"?>
<styleSheet xmlns="http://schemas.openxmlformats.org/spreadsheetml/2006/main">
  <fonts count="4">
    <font>
      <sz val="10"/>
      <name val="Calibri"/>
    </font>
    <font>
      <b/>
      <sz val="14"/>
      <name val="Calibri"/>
    </font>
    <font>
      <b/>
      <sz val="10"/>
      <name val="Calibri"/>
    </font>
    <font>
      <sz val="9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4" fontId="0" fillId="0" borderId="0" xfId="0" applyNumberFormat="1"/>
    <xf numFmtId="0" fontId="0" fillId="0" borderId="0" xfId="0" applyAlignment="1">
      <alignment wrapText="1" vertical="top"/>
    </xf>
    <xf numFmtId="10" fontId="0" fillId="0" borderId="0" xfId="0" applyNumberFormat="1"/>
    <xf numFmtId="0" fontId="3" fillId="0" borderId="0" xfId="0" applyAlignment="1">
      <alignment textRotation="90" horizontal="center" vertical="center"/>
    </xf>
  </cellXfs>
  <cellStyles count="1">
    <cellStyle name="Normal" xfId="0" builtinId="0"/>
  </cellStyles>
</styleSheet>
</file>

<file path=xl/_rels/workbook.xml.rels><?xml version="1.0" encoding="UTF-8" standalone="yes"?>
<Relationships xmlns="http://schemas.openxmlformats.org/package/2006/relationships">
<Relationship Id="rId1" Type="http://schemas.openxmlformats.org/officeDocument/2006/relationships/worksheet" Target="worksheets/sheet1.xml"/>
<Relationship Id="rId2" Type="http://schemas.openxmlformats.org/officeDocument/2006/relationships/worksheet" Target="worksheets/sheet2.xml"/>
<Relationship Id="rId3" Type="http://schemas.openxmlformats.org/officeDocument/2006/relationships/worksheet" Target="worksheets/sheet3.xml"/>
<Relationship Id="rId4" Type="http://schemas.openxmlformats.org/officeDocument/2006/relationships/worksheet" Target="worksheets/sheet4.xml"/>
<Relationship Id="rId5" Type="http://schemas.openxmlformats.org/officeDocument/2006/relationships/worksheet" Target="worksheets/sheet5.xml"/>
<Relationship Id="rId6" Type="http://schemas.openxmlformats.org/officeDocument/2006/relationships/worksheet" Target="worksheets/sheet6.xml"/>
<Relationship Id="rId7" Type="http://schemas.openxmlformats.org/officeDocument/2006/relationships/styles" Target="styles.xml"/>
</Relationships>
</file>

<file path=xl/drawings/_rels/drawing1.xml.rels><?xml version="1.0" encoding="UTF-8" standalone="yes"?>
<Relationships xmlns="http://schemas.openxmlformats.org/package/2006/relationships">
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3</xdr:col>
      <xdr:colOff>0</xdr:colOff>
      <xdr:row>3</xdr:row>
      <xdr:rowOff>0</xdr:rowOff>
    </xdr:to>
    <xdr:pic>
      <xdr:nvPicPr>
        <xdr:cNvPr id="2" name="JM-LOGO"/>
        <xdr:cNvPicPr/>
      </xdr:nvPicPr>
      <xdr:blipFill>
        <a:blip r:embed="rId1"/>
        <a:stretch>
          <a:fillRect/>
        </a:stretch>
      </xdr:blipFill>
      <xdr:spPr>
        <a:prstGeom prst="rect">
          <a:avLst/>
        </a:prstGeom>
      </xdr:spPr>
    </xdr:pic>
    <xdr:clientData/>
  </xdr:twoCellAnchor>
</xdr:wsDr>
</file>

<file path=xl/worksheets/_rels/sheet3.xml.rels><?xml version="1.0" encoding="UTF-8" standalone="yes"?>
<Relationships xmlns="http://schemas.openxmlformats.org/package/2006/relationships">
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Data>
    <row r="1">
      <c r="A1" t="inlineStr" s="1">
        <is>
          <t>PRODUCTOS</t>
        </is>
      </c>
    </row>
    <row r="2">
      <c r="A2" t="inlineStr" s="2">
        <is>
          <t>CODIGO</t>
        </is>
      </c>
      <c r="B2" t="inlineStr" s="2">
        <is>
          <t>NOMBRE</t>
        </is>
      </c>
      <c r="C2" t="inlineStr" s="2">
        <is>
          <t>DETALLE</t>
        </is>
      </c>
      <c r="D2" t="inlineStr" s="2">
        <is>
          <t>FOTO</t>
        </is>
      </c>
      <c r="E2" t="inlineStr" s="2">
        <is>
          <t>COSTO_MAYORISTA</t>
        </is>
      </c>
      <c r="F2" t="inlineStr" s="2">
        <is>
          <t>PRECIO_FINAL</t>
        </is>
      </c>
      <c r="G2" t="inlineStr" s="2">
        <is>
          <t>PRECIO_TECNICO</t>
        </is>
      </c>
      <c r="H2" t="inlineStr" s="2">
        <is>
          <t>ACTIVO</t>
        </is>
      </c>
    </row>
    <row r="3">
      <c r="A3" t="inlineStr" s="0">
        <is>
          <t>CAM-2MP-DOMO</t>
        </is>
      </c>
      <c r="B3" t="inlineStr" s="0">
        <is>
          <t>Camara Domo 2MP</t>
        </is>
      </c>
      <c r="C3" t="inlineStr" s="0">
        <is>
          <t>Lente 2.8mm, IR 30m, metalica</t>
        </is>
      </c>
      <c r="D3" t="inlineStr" s="0">
        <is>
          <t>CAM-2MP-DOMO.jpg</t>
        </is>
      </c>
      <c r="E3" s="0">
        <v>32</v>
      </c>
      <c r="F3" s="0">
        <v>58</v>
      </c>
      <c r="G3" s="0">
        <v>50</v>
      </c>
      <c r="H3" t="inlineStr" s="0">
        <is>
          <t>S</t>
        </is>
      </c>
    </row>
    <row r="4">
      <c r="A4" t="inlineStr" s="0">
        <is>
          <t>CAM-2MP-BALA</t>
        </is>
      </c>
      <c r="B4" t="inlineStr" s="0">
        <is>
          <t>Camara Bala 2MP</t>
        </is>
      </c>
      <c r="C4" t="inlineStr" s="0">
        <is>
          <t>IP66, IR 40m, lente 3.6mm</t>
        </is>
      </c>
      <c r="D4" t="inlineStr" s="0">
        <is>
          <t>CAM-2MP-BALA.jpg</t>
        </is>
      </c>
      <c r="E4" s="0">
        <v>35</v>
      </c>
      <c r="F4" s="0">
        <v>62</v>
      </c>
      <c r="G4" s="0">
        <v>54</v>
      </c>
      <c r="H4" t="inlineStr" s="0">
        <is>
          <t>S</t>
        </is>
      </c>
    </row>
    <row r="5">
      <c r="A5" t="inlineStr" s="0">
        <is>
          <t>CAM-5MP-DOMO</t>
        </is>
      </c>
      <c r="B5" t="inlineStr" s="0">
        <is>
          <t>Camara Domo 5MP</t>
        </is>
      </c>
      <c r="C5" t="inlineStr" s="0">
        <is>
          <t>WDR, IR 30m, lente varifocal</t>
        </is>
      </c>
      <c r="D5" t="inlineStr" s="0">
        <is>
          <t>CAM-5MP-DOMO.jpg</t>
        </is>
      </c>
      <c r="E5" s="0">
        <v>48</v>
      </c>
      <c r="F5" s="0">
        <v>84</v>
      </c>
      <c r="G5" s="0">
        <v>74</v>
      </c>
      <c r="H5" t="inlineStr" s="0">
        <is>
          <t>S</t>
        </is>
      </c>
    </row>
    <row r="6">
      <c r="A6" t="inlineStr" s="0">
        <is>
          <t>DVR-8CH-XM</t>
        </is>
      </c>
      <c r="B6" t="inlineStr" s="0">
        <is>
          <t>Grabador DVR 8 Canales</t>
        </is>
      </c>
      <c r="C6" t="inlineStr" s="0">
        <is>
          <t>H.265+, 1080N, HDMI/VGA</t>
        </is>
      </c>
      <c r="D6" t="inlineStr" s="0">
        <is>
          <t>DVR-8CH-XM.jpg</t>
        </is>
      </c>
      <c r="E6" s="0">
        <v>75</v>
      </c>
      <c r="F6" s="0">
        <v>130</v>
      </c>
      <c r="G6" s="0">
        <v>115</v>
      </c>
      <c r="H6" t="inlineStr" s="0">
        <is>
          <t>S</t>
        </is>
      </c>
    </row>
    <row r="7">
      <c r="A7" t="inlineStr" s="0">
        <is>
          <t>NVR-8CH-POE</t>
        </is>
      </c>
      <c r="B7" t="inlineStr" s="0">
        <is>
          <t>Grabador NVR 8CH PoE</t>
        </is>
      </c>
      <c r="C7" t="inlineStr" s="0">
        <is>
          <t>PoE integrado, 4K, ONVIF</t>
        </is>
      </c>
      <c r="D7" t="inlineStr" s="0">
        <is>
          <t>NVR-8CH-POE.jpg</t>
        </is>
      </c>
      <c r="E7" s="0">
        <v>110</v>
      </c>
      <c r="F7" s="0">
        <v>188</v>
      </c>
      <c r="G7" s="0">
        <v>168</v>
      </c>
      <c r="H7" t="inlineStr" s="0">
        <is>
          <t>S</t>
        </is>
      </c>
    </row>
    <row r="8">
      <c r="A8" t="inlineStr" s="0">
        <is>
          <t>HDD-1TB-WD</t>
        </is>
      </c>
      <c r="B8" t="inlineStr" s="0">
        <is>
          <t>Disco Duro 1TB</t>
        </is>
      </c>
      <c r="C8" t="inlineStr" s="0">
        <is>
          <t>Especial videovigilancia 24/7</t>
        </is>
      </c>
      <c r="D8" t="inlineStr" s="0">
        <is>
          <t>HDD-1TB-WD.jpg</t>
        </is>
      </c>
      <c r="E8" s="0">
        <v>38</v>
      </c>
      <c r="F8" s="0">
        <v>62</v>
      </c>
      <c r="G8" s="0">
        <v>55</v>
      </c>
      <c r="H8" t="inlineStr" s="0">
        <is>
          <t>S</t>
        </is>
      </c>
    </row>
    <row r="9">
      <c r="A9" t="inlineStr" s="0">
        <is>
          <t>HDD-2TB-WD</t>
        </is>
      </c>
      <c r="B9" t="inlineStr" s="0">
        <is>
          <t>Disco Duro 2TB</t>
        </is>
      </c>
      <c r="C9" t="inlineStr" s="0">
        <is>
          <t>Especial videovigilancia 24/7</t>
        </is>
      </c>
      <c r="D9" t="inlineStr" s="0">
        <is>
          <t>HDD-2TB-WD.jpg</t>
        </is>
      </c>
      <c r="E9" s="0">
        <v>58</v>
      </c>
      <c r="F9" s="0">
        <v>95</v>
      </c>
      <c r="G9" s="0">
        <v>84</v>
      </c>
      <c r="H9" t="inlineStr" s="0">
        <is>
          <t>S</t>
        </is>
      </c>
    </row>
    <row r="10">
      <c r="A10" t="inlineStr" s="0">
        <is>
          <t>FUENTE-12V10A</t>
        </is>
      </c>
      <c r="B10" t="inlineStr" s="0">
        <is>
          <t>Fuente 12V 10A</t>
        </is>
      </c>
      <c r="C10" t="inlineStr" s="0">
        <is>
          <t>Fuente metalica regulada</t>
        </is>
      </c>
      <c r="D10" t="inlineStr" s="0">
        <is>
          <t>FUENTE-12V10A.jpg</t>
        </is>
      </c>
      <c r="E10" s="0">
        <v>18</v>
      </c>
      <c r="F10" s="0">
        <v>32</v>
      </c>
      <c r="G10" s="0">
        <v>28</v>
      </c>
      <c r="H10" t="inlineStr" s="0">
        <is>
          <t>S</t>
        </is>
      </c>
    </row>
    <row r="11">
      <c r="A11" t="inlineStr" s="0">
        <is>
          <t>CONECTOR-BNC</t>
        </is>
      </c>
      <c r="B11" t="inlineStr" s="0">
        <is>
          <t>Conector BNC</t>
        </is>
      </c>
      <c r="C11" t="inlineStr" s="0">
        <is>
          <t>BNC macho a tornillo</t>
        </is>
      </c>
      <c r="D11" t="inlineStr" s="0">
        <is>
          <t>CONECTOR-BNC.jpg</t>
        </is>
      </c>
      <c r="E11" s="0">
        <v>0.35</v>
      </c>
      <c r="F11" s="0">
        <v>1</v>
      </c>
      <c r="G11" s="0">
        <v>0.8</v>
      </c>
      <c r="H11" t="inlineStr" s="0">
        <is>
          <t>S</t>
        </is>
      </c>
    </row>
    <row r="12">
      <c r="A12" t="inlineStr" s="0">
        <is>
          <t>CONECTOR-DC</t>
        </is>
      </c>
      <c r="B12" t="inlineStr" s="0">
        <is>
          <t>Conector DC</t>
        </is>
      </c>
      <c r="C12" t="inlineStr" s="0">
        <is>
          <t>Conector DC macho/hembra</t>
        </is>
      </c>
      <c r="D12" t="inlineStr" s="0">
        <is>
          <t>CONECTOR-DC.jpg</t>
        </is>
      </c>
      <c r="E12" s="0">
        <v>0.3</v>
      </c>
      <c r="F12" s="0">
        <v>0.9</v>
      </c>
      <c r="G12" s="0">
        <v>0.7</v>
      </c>
      <c r="H12" t="inlineStr" s="0">
        <is>
          <t>S</t>
        </is>
      </c>
    </row>
    <row r="13">
      <c r="A13" t="inlineStr" s="0">
        <is>
          <t>UTP-CAT5E</t>
        </is>
      </c>
      <c r="B13" t="inlineStr" s="0">
        <is>
          <t>Cable UTP Cat5e</t>
        </is>
      </c>
      <c r="C13" t="inlineStr" s="0">
        <is>
          <t>Bobina 305m cobre CCA</t>
        </is>
      </c>
      <c r="D13" t="inlineStr" s="0">
        <is>
          <t>UTP-CAT5E.jpg</t>
        </is>
      </c>
      <c r="E13" s="0">
        <v>55</v>
      </c>
      <c r="F13" s="0">
        <v>92</v>
      </c>
      <c r="G13" s="0">
        <v>80</v>
      </c>
      <c r="H13" t="inlineStr" s="0">
        <is>
          <t>S</t>
        </is>
      </c>
    </row>
    <row r="14">
      <c r="A14" t="inlineStr" s="0">
        <is>
          <t>CAJA-PASO</t>
        </is>
      </c>
      <c r="B14" t="inlineStr" s="0">
        <is>
          <t>Caja de paso</t>
        </is>
      </c>
      <c r="C14" t="inlineStr" s="0">
        <is>
          <t>Caja plastica 10x10 cm</t>
        </is>
      </c>
      <c r="D14" t="inlineStr" s="0">
        <is>
          <t>CAJA-PASO.jpg</t>
        </is>
      </c>
      <c r="E14" s="0">
        <v>1.4</v>
      </c>
      <c r="F14" s="0">
        <v>3.5</v>
      </c>
      <c r="G14" s="0">
        <v>3</v>
      </c>
      <c r="H14" t="inlineStr" s="0">
        <is>
          <t>S</t>
        </is>
      </c>
    </row>
    <row r="15">
      <c r="A15" t="inlineStr" s="0">
        <is>
          <t>BALUN-HD</t>
        </is>
      </c>
      <c r="B15" t="inlineStr" s="0">
        <is>
          <t>Balun HD</t>
        </is>
      </c>
      <c r="C15" t="inlineStr" s="0">
        <is>
          <t>Transceptor pasivo HD</t>
        </is>
      </c>
      <c r="D15" t="inlineStr" s="0">
        <is>
          <t>BALUN-HD.jpg</t>
        </is>
      </c>
      <c r="E15" s="0">
        <v>1.2</v>
      </c>
      <c r="F15" s="0">
        <v>3.2</v>
      </c>
      <c r="G15" s="0">
        <v>2.8</v>
      </c>
      <c r="H15" t="inlineStr" s="0">
        <is>
          <t>S</t>
        </is>
      </c>
    </row>
    <row r="16">
      <c r="A16" t="inlineStr" s="0">
        <is>
          <t>SWITCH-8P</t>
        </is>
      </c>
      <c r="B16" t="inlineStr" s="0">
        <is>
          <t>Switch 8 Puertos</t>
        </is>
      </c>
      <c r="C16" t="inlineStr" s="0">
        <is>
          <t>Fast Ethernet 10/100</t>
        </is>
      </c>
      <c r="D16" t="inlineStr" s="0">
        <is>
          <t>SWITCH-8P.jpg</t>
        </is>
      </c>
      <c r="E16" s="0">
        <v>14</v>
      </c>
      <c r="F16" s="0">
        <v>27</v>
      </c>
      <c r="G16" s="0">
        <v>23</v>
      </c>
      <c r="H16" t="inlineStr" s="0">
        <is>
          <t>S</t>
        </is>
      </c>
    </row>
    <row r="17">
      <c r="A17" t="inlineStr" s="0">
        <is>
          <t>RACK-6U</t>
        </is>
      </c>
      <c r="B17" t="inlineStr" s="0">
        <is>
          <t>Rack mural 6U</t>
        </is>
      </c>
      <c r="C17" t="inlineStr" s="0">
        <is>
          <t>Gabinete mural con llave</t>
        </is>
      </c>
      <c r="D17" t="inlineStr" s="0">
        <is>
          <t>RACK-6U.jpg</t>
        </is>
      </c>
      <c r="E17" s="0">
        <v>45</v>
      </c>
      <c r="F17" s="0">
        <v>80</v>
      </c>
      <c r="G17" s="0">
        <v>70</v>
      </c>
      <c r="H17" t="inlineStr" s="0">
        <is>
          <t>S</t>
        </is>
      </c>
    </row>
    <row r="18">
      <c r="A18" t="inlineStr" s="0">
        <is>
          <t>MO-PUNTO</t>
        </is>
      </c>
      <c r="B18" t="inlineStr" s="0">
        <is>
          <t>Mano de obra por punto</t>
        </is>
      </c>
      <c r="C18" t="inlineStr" s="0">
        <is>
          <t>Instalacion CCTV por punto</t>
        </is>
      </c>
      <c r="D18" t="inlineStr" s="0">
        <is>
          <t>MO-PUNTO.jpg</t>
        </is>
      </c>
      <c r="E18" s="0">
        <v>0</v>
      </c>
      <c r="F18" s="0">
        <v>180</v>
      </c>
      <c r="G18" s="0">
        <v>0</v>
      </c>
      <c r="H18" t="inlineStr" s="0">
        <is>
          <t>S</t>
        </is>
      </c>
    </row>
  </sheetData>
</worksheet>
</file>

<file path=xl/worksheets/sheet2.xml><?xml version="1.0" encoding="utf-8"?>
<worksheet xmlns="http://schemas.openxmlformats.org/spreadsheetml/2006/main" xmlns:r="http://schemas.openxmlformats.org/officeDocument/2006/relationships">
  <sheetData>
    <row r="1">
      <c r="A1" t="inlineStr" s="1">
        <is>
          <t>CLIENTES</t>
        </is>
      </c>
    </row>
    <row r="2">
      <c r="A2" t="inlineStr" s="2">
        <is>
          <t>NOMBRE</t>
        </is>
      </c>
      <c r="B2" t="inlineStr" s="2">
        <is>
          <t>CONTACTO</t>
        </is>
      </c>
      <c r="C2" t="inlineStr" s="2">
        <is>
          <t>CI/NIT</t>
        </is>
      </c>
    </row>
    <row r="3">
      <c r="A3" t="inlineStr">
        <is>
          <t>Jesus Tarqui</t>
        </is>
      </c>
      <c r="B3" t="inlineStr">
        <is>
          <t>67278181</t>
        </is>
      </c>
      <c r="C3" t="inlineStr">
        <is>
          <t>CI: 1781818</t>
        </is>
      </c>
    </row>
  </sheetData>
</worksheet>
</file>

<file path=xl/worksheets/sheet3.xml><?xml version="1.0" encoding="utf-8"?>
<worksheet xmlns="http://schemas.openxmlformats.org/spreadsheetml/2006/main" xmlns:r="http://schemas.openxmlformats.org/officeDocument/2006/relationships">
  <cols>
    <col min="1" max="1" width="5" customWidth="1"/>
    <col min="2" max="2" width="8" customWidth="1"/>
    <col min="3" max="3" width="10" customWidth="1"/>
    <col min="4" max="4" width="38" customWidth="1"/>
    <col min="5" max="5" width="7" customWidth="1"/>
    <col min="6" max="7" width="12" customWidth="1"/>
    <col min="8" max="12" width="11" hidden="1" customWidth="1"/>
    <col min="14" max="15" width="18" hidden="1" customWidth="1"/>
  </cols>
  <sheetData>
    <row r="1">
      <c r="A1" t="inlineStr" s="0">
        <is>
          <t> </t>
        </is>
      </c>
      <c r="E1" t="inlineStr" s="2">
        <is>
          <t>Documento</t>
        </is>
      </c>
      <c r="F1" t="inlineStr" s="3">
        <is>
          <t>COTIZACIÓN</t>
        </is>
      </c>
      <c r="G1" t="inlineStr" s="2">
        <is>
          <t>Nro</t>
        </is>
      </c>
      <c r="H1" t="inlineStr" s="3">
        <is>
          <t>COT-0102</t>
        </is>
      </c>
      <c r="N1" t="inlineStr" s="3">
        <is>
          <t>Final</t>
        </is>
      </c>
      <c r="O1" t="inlineStr" s="2">
        <is>
          <t>TipoCliente interno</t>
        </is>
      </c>
    </row>
    <row r="2">
      <c r="E2" t="inlineStr" s="2">
        <is>
          <t>Fecha</t>
        </is>
      </c>
      <c r="F2" t="inlineStr" s="3">
        <is>
          <t>2026-03-04</t>
        </is>
      </c>
      <c r="G2" t="inlineStr" s="2">
        <is>
          <t>Imprimir con fotos</t>
        </is>
      </c>
      <c r="H2" t="inlineStr" s="3">
        <is>
          <t>Sí</t>
        </is>
      </c>
      <c r="N2" t="inlineStr" s="3">
        <is>
          <t>C:\JMVISION_FOTOS\</t>
        </is>
      </c>
      <c r="O2" t="inlineStr" s="2">
        <is>
          <t>RutaFotos</t>
        </is>
      </c>
    </row>
    <row r="4">
      <c r="A4" t="inlineStr" s="2">
        <is>
          <t>CLIENTE | CONTACTO | CI/NIT</t>
        </is>
      </c>
    </row>
    <row r="5">
      <c r="A5" t="inlineStr" s="3">
        <is>
          <t>Jesus Tarqui | 67278181 | CI: 1781818</t>
        </is>
      </c>
    </row>
    <row r="7">
      <c r="A7" t="inlineStr" s="2">
        <is>
          <t>ITEM</t>
        </is>
      </c>
      <c r="B7" t="inlineStr" s="2">
        <is>
          <t>CODIGO</t>
        </is>
      </c>
      <c r="C7" t="inlineStr" s="2">
        <is>
          <t>FOTO</t>
        </is>
      </c>
      <c r="D7" t="inlineStr" s="2">
        <is>
          <t>DESCRIPCION</t>
        </is>
      </c>
      <c r="E7" t="inlineStr" s="2">
        <is>
          <t>CANT</t>
        </is>
      </c>
      <c r="F7" t="inlineStr" s="2">
        <is>
          <t>PRECIO UNI</t>
        </is>
      </c>
      <c r="G7" t="inlineStr" s="2">
        <is>
          <t>TOTAL Bs</t>
        </is>
      </c>
      <c r="H7" t="inlineStr" s="2">
        <is>
          <t>COSTO UNI</t>
        </is>
      </c>
      <c r="I7" t="inlineStr" s="2">
        <is>
          <t>COSTO TOT</t>
        </is>
      </c>
      <c r="J7" t="inlineStr" s="2">
        <is>
          <t>GANANCIA</t>
        </is>
      </c>
      <c r="K7" t="inlineStr" s="2">
        <is>
          <t>MARGEN %</t>
        </is>
      </c>
      <c r="L7" t="inlineStr" s="2">
        <is>
          <t>FOTO_ARCH</t>
        </is>
      </c>
    </row>
    <row r="8">
      <c r="A8" s="0">
        <v>1</v>
      </c>
      <c r="B8" t="inlineStr" s="6">
        <is>
          <t>CAM-2MP-DOMO</t>
        </is>
      </c>
      <c r="C8" t="inlineStr" s="0">
        <is>
          <t/>
        </is>
      </c>
      <c r="D8" s="4">
        <f>IF(B8="","",INDEX(PRODUCTOS!$B:$B,MATCH(B8,PRODUCTOS!$A:$A,0))&amp;CHAR(10)&amp;INDEX(PRODUCTOS!$C:$C,MATCH(B8,PRODUCTOS!$A:$A,0)))</f>
      </c>
      <c r="E8" s="3">
        <v>2</v>
      </c>
      <c r="F8" s="3">
        <f>IF(B8="","",IF($N$1="Final",INDEX(PRODUCTOS!$F:$F,MATCH(B8,PRODUCTOS!$A:$A,0)),INDEX(PRODUCTOS!$G:$G,MATCH(B8,PRODUCTOS!$A:$A,0))))</f>
      </c>
      <c r="G8" s="3">
        <f>IFERROR(E8*F8,0)</f>
      </c>
      <c r="H8" s="3">
        <f>IF(B8="","",INDEX(PRODUCTOS!$E:$E,MATCH(B8,PRODUCTOS!$A:$A,0)))</f>
      </c>
      <c r="I8" s="3">
        <f>IFERROR(E8*H8,0)</f>
      </c>
      <c r="J8" s="3">
        <f>IFERROR(G8-I8,0)</f>
      </c>
      <c r="K8" s="5">
        <f>IFERROR(J8/G8,0)</f>
      </c>
      <c r="L8" s="0">
        <f>IF(B8="","",INDEX(PRODUCTOS!$D:$D,MATCH(B8,PRODUCTOS!$A:$A,0)))</f>
      </c>
    </row>
    <row r="9">
      <c r="A9" s="0">
        <v>2</v>
      </c>
      <c r="B9" t="inlineStr" s="6">
        <is>
          <t>CAM-2MP-BALA</t>
        </is>
      </c>
      <c r="C9" t="inlineStr" s="0">
        <is>
          <t/>
        </is>
      </c>
      <c r="D9" s="4">
        <f>IF(B9="","",INDEX(PRODUCTOS!$B:$B,MATCH(B9,PRODUCTOS!$A:$A,0))&amp;CHAR(10)&amp;INDEX(PRODUCTOS!$C:$C,MATCH(B9,PRODUCTOS!$A:$A,0)))</f>
      </c>
      <c r="E9" s="3">
        <v>2</v>
      </c>
      <c r="F9" s="3">
        <f>IF(B9="","",IF($N$1="Final",INDEX(PRODUCTOS!$F:$F,MATCH(B9,PRODUCTOS!$A:$A,0)),INDEX(PRODUCTOS!$G:$G,MATCH(B9,PRODUCTOS!$A:$A,0))))</f>
      </c>
      <c r="G9" s="3">
        <f>IFERROR(E9*F9,0)</f>
      </c>
      <c r="H9" s="3">
        <f>IF(B9="","",INDEX(PRODUCTOS!$E:$E,MATCH(B9,PRODUCTOS!$A:$A,0)))</f>
      </c>
      <c r="I9" s="3">
        <f>IFERROR(E9*H9,0)</f>
      </c>
      <c r="J9" s="3">
        <f>IFERROR(G9-I9,0)</f>
      </c>
      <c r="K9" s="5">
        <f>IFERROR(J9/G9,0)</f>
      </c>
      <c r="L9" s="0">
        <f>IF(B9="","",INDEX(PRODUCTOS!$D:$D,MATCH(B9,PRODUCTOS!$A:$A,0)))</f>
      </c>
    </row>
    <row r="10">
      <c r="A10" s="0">
        <v>3</v>
      </c>
      <c r="B10" t="inlineStr" s="6">
        <is>
          <t>CAM-5MP-DOMO</t>
        </is>
      </c>
      <c r="C10" t="inlineStr" s="0">
        <is>
          <t/>
        </is>
      </c>
      <c r="D10" s="4">
        <f>IF(B10="","",INDEX(PRODUCTOS!$B:$B,MATCH(B10,PRODUCTOS!$A:$A,0))&amp;CHAR(10)&amp;INDEX(PRODUCTOS!$C:$C,MATCH(B10,PRODUCTOS!$A:$A,0)))</f>
      </c>
      <c r="E10" s="3">
        <v>2</v>
      </c>
      <c r="F10" s="3">
        <f>IF(B10="","",IF($N$1="Final",INDEX(PRODUCTOS!$F:$F,MATCH(B10,PRODUCTOS!$A:$A,0)),INDEX(PRODUCTOS!$G:$G,MATCH(B10,PRODUCTOS!$A:$A,0))))</f>
      </c>
      <c r="G10" s="3">
        <f>IFERROR(E10*F10,0)</f>
      </c>
      <c r="H10" s="3">
        <f>IF(B10="","",INDEX(PRODUCTOS!$E:$E,MATCH(B10,PRODUCTOS!$A:$A,0)))</f>
      </c>
      <c r="I10" s="3">
        <f>IFERROR(E10*H10,0)</f>
      </c>
      <c r="J10" s="3">
        <f>IFERROR(G10-I10,0)</f>
      </c>
      <c r="K10" s="5">
        <f>IFERROR(J10/G10,0)</f>
      </c>
      <c r="L10" s="0">
        <f>IF(B10="","",INDEX(PRODUCTOS!$D:$D,MATCH(B10,PRODUCTOS!$A:$A,0)))</f>
      </c>
    </row>
    <row r="11">
      <c r="A11" s="0">
        <v>4</v>
      </c>
      <c r="B11" t="inlineStr" s="6">
        <is>
          <t>DVR-8CH-XM</t>
        </is>
      </c>
      <c r="C11" t="inlineStr" s="0">
        <is>
          <t/>
        </is>
      </c>
      <c r="D11" s="4">
        <f>IF(B11="","",INDEX(PRODUCTOS!$B:$B,MATCH(B11,PRODUCTOS!$A:$A,0))&amp;CHAR(10)&amp;INDEX(PRODUCTOS!$C:$C,MATCH(B11,PRODUCTOS!$A:$A,0)))</f>
      </c>
      <c r="E11" s="3">
        <v>1</v>
      </c>
      <c r="F11" s="3">
        <f>IF(B11="","",IF($N$1="Final",INDEX(PRODUCTOS!$F:$F,MATCH(B11,PRODUCTOS!$A:$A,0)),INDEX(PRODUCTOS!$G:$G,MATCH(B11,PRODUCTOS!$A:$A,0))))</f>
      </c>
      <c r="G11" s="3">
        <f>IFERROR(E11*F11,0)</f>
      </c>
      <c r="H11" s="3">
        <f>IF(B11="","",INDEX(PRODUCTOS!$E:$E,MATCH(B11,PRODUCTOS!$A:$A,0)))</f>
      </c>
      <c r="I11" s="3">
        <f>IFERROR(E11*H11,0)</f>
      </c>
      <c r="J11" s="3">
        <f>IFERROR(G11-I11,0)</f>
      </c>
      <c r="K11" s="5">
        <f>IFERROR(J11/G11,0)</f>
      </c>
      <c r="L11" s="0">
        <f>IF(B11="","",INDEX(PRODUCTOS!$D:$D,MATCH(B11,PRODUCTOS!$A:$A,0)))</f>
      </c>
    </row>
    <row r="12">
      <c r="A12" s="0">
        <v>5</v>
      </c>
      <c r="B12" t="inlineStr" s="6">
        <is>
          <t>NVR-8CH-POE</t>
        </is>
      </c>
      <c r="C12" t="inlineStr" s="0">
        <is>
          <t/>
        </is>
      </c>
      <c r="D12" s="4">
        <f>IF(B12="","",INDEX(PRODUCTOS!$B:$B,MATCH(B12,PRODUCTOS!$A:$A,0))&amp;CHAR(10)&amp;INDEX(PRODUCTOS!$C:$C,MATCH(B12,PRODUCTOS!$A:$A,0)))</f>
      </c>
      <c r="E12" s="3">
        <v>1</v>
      </c>
      <c r="F12" s="3">
        <f>IF(B12="","",IF($N$1="Final",INDEX(PRODUCTOS!$F:$F,MATCH(B12,PRODUCTOS!$A:$A,0)),INDEX(PRODUCTOS!$G:$G,MATCH(B12,PRODUCTOS!$A:$A,0))))</f>
      </c>
      <c r="G12" s="3">
        <f>IFERROR(E12*F12,0)</f>
      </c>
      <c r="H12" s="3">
        <f>IF(B12="","",INDEX(PRODUCTOS!$E:$E,MATCH(B12,PRODUCTOS!$A:$A,0)))</f>
      </c>
      <c r="I12" s="3">
        <f>IFERROR(E12*H12,0)</f>
      </c>
      <c r="J12" s="3">
        <f>IFERROR(G12-I12,0)</f>
      </c>
      <c r="K12" s="5">
        <f>IFERROR(J12/G12,0)</f>
      </c>
      <c r="L12" s="0">
        <f>IF(B12="","",INDEX(PRODUCTOS!$D:$D,MATCH(B12,PRODUCTOS!$A:$A,0)))</f>
      </c>
    </row>
    <row r="13">
      <c r="A13" s="0">
        <v>6</v>
      </c>
      <c r="B13" t="inlineStr" s="6">
        <is>
          <t>HDD-1TB-WD</t>
        </is>
      </c>
      <c r="C13" t="inlineStr" s="0">
        <is>
          <t/>
        </is>
      </c>
      <c r="D13" s="4">
        <f>IF(B13="","",INDEX(PRODUCTOS!$B:$B,MATCH(B13,PRODUCTOS!$A:$A,0))&amp;CHAR(10)&amp;INDEX(PRODUCTOS!$C:$C,MATCH(B13,PRODUCTOS!$A:$A,0)))</f>
      </c>
      <c r="E13" s="3">
        <v>1</v>
      </c>
      <c r="F13" s="3">
        <f>IF(B13="","",IF($N$1="Final",INDEX(PRODUCTOS!$F:$F,MATCH(B13,PRODUCTOS!$A:$A,0)),INDEX(PRODUCTOS!$G:$G,MATCH(B13,PRODUCTOS!$A:$A,0))))</f>
      </c>
      <c r="G13" s="3">
        <f>IFERROR(E13*F13,0)</f>
      </c>
      <c r="H13" s="3">
        <f>IF(B13="","",INDEX(PRODUCTOS!$E:$E,MATCH(B13,PRODUCTOS!$A:$A,0)))</f>
      </c>
      <c r="I13" s="3">
        <f>IFERROR(E13*H13,0)</f>
      </c>
      <c r="J13" s="3">
        <f>IFERROR(G13-I13,0)</f>
      </c>
      <c r="K13" s="5">
        <f>IFERROR(J13/G13,0)</f>
      </c>
      <c r="L13" s="0">
        <f>IF(B13="","",INDEX(PRODUCTOS!$D:$D,MATCH(B13,PRODUCTOS!$A:$A,0)))</f>
      </c>
    </row>
    <row r="14">
      <c r="A14" s="0">
        <v>7</v>
      </c>
      <c r="B14" t="inlineStr" s="6">
        <is>
          <t>HDD-2TB-WD</t>
        </is>
      </c>
      <c r="C14" t="inlineStr" s="0">
        <is>
          <t/>
        </is>
      </c>
      <c r="D14" s="4">
        <f>IF(B14="","",INDEX(PRODUCTOS!$B:$B,MATCH(B14,PRODUCTOS!$A:$A,0))&amp;CHAR(10)&amp;INDEX(PRODUCTOS!$C:$C,MATCH(B14,PRODUCTOS!$A:$A,0)))</f>
      </c>
      <c r="E14" s="3">
        <v>1</v>
      </c>
      <c r="F14" s="3">
        <f>IF(B14="","",IF($N$1="Final",INDEX(PRODUCTOS!$F:$F,MATCH(B14,PRODUCTOS!$A:$A,0)),INDEX(PRODUCTOS!$G:$G,MATCH(B14,PRODUCTOS!$A:$A,0))))</f>
      </c>
      <c r="G14" s="3">
        <f>IFERROR(E14*F14,0)</f>
      </c>
      <c r="H14" s="3">
        <f>IF(B14="","",INDEX(PRODUCTOS!$E:$E,MATCH(B14,PRODUCTOS!$A:$A,0)))</f>
      </c>
      <c r="I14" s="3">
        <f>IFERROR(E14*H14,0)</f>
      </c>
      <c r="J14" s="3">
        <f>IFERROR(G14-I14,0)</f>
      </c>
      <c r="K14" s="5">
        <f>IFERROR(J14/G14,0)</f>
      </c>
      <c r="L14" s="0">
        <f>IF(B14="","",INDEX(PRODUCTOS!$D:$D,MATCH(B14,PRODUCTOS!$A:$A,0)))</f>
      </c>
    </row>
    <row r="15">
      <c r="A15" s="0">
        <v>8</v>
      </c>
      <c r="B15" t="inlineStr" s="6">
        <is>
          <t>FUENTE-12V10A</t>
        </is>
      </c>
      <c r="C15" t="inlineStr" s="0">
        <is>
          <t/>
        </is>
      </c>
      <c r="D15" s="4">
        <f>IF(B15="","",INDEX(PRODUCTOS!$B:$B,MATCH(B15,PRODUCTOS!$A:$A,0))&amp;CHAR(10)&amp;INDEX(PRODUCTOS!$C:$C,MATCH(B15,PRODUCTOS!$A:$A,0)))</f>
      </c>
      <c r="E15" s="3">
        <v>1</v>
      </c>
      <c r="F15" s="3">
        <f>IF(B15="","",IF($N$1="Final",INDEX(PRODUCTOS!$F:$F,MATCH(B15,PRODUCTOS!$A:$A,0)),INDEX(PRODUCTOS!$G:$G,MATCH(B15,PRODUCTOS!$A:$A,0))))</f>
      </c>
      <c r="G15" s="3">
        <f>IFERROR(E15*F15,0)</f>
      </c>
      <c r="H15" s="3">
        <f>IF(B15="","",INDEX(PRODUCTOS!$E:$E,MATCH(B15,PRODUCTOS!$A:$A,0)))</f>
      </c>
      <c r="I15" s="3">
        <f>IFERROR(E15*H15,0)</f>
      </c>
      <c r="J15" s="3">
        <f>IFERROR(G15-I15,0)</f>
      </c>
      <c r="K15" s="5">
        <f>IFERROR(J15/G15,0)</f>
      </c>
      <c r="L15" s="0">
        <f>IF(B15="","",INDEX(PRODUCTOS!$D:$D,MATCH(B15,PRODUCTOS!$A:$A,0)))</f>
      </c>
    </row>
    <row r="16">
      <c r="A16" s="0">
        <v>9</v>
      </c>
      <c r="B16" t="inlineStr" s="6">
        <is>
          <t>CONECTOR-BNC</t>
        </is>
      </c>
      <c r="C16" t="inlineStr" s="0">
        <is>
          <t/>
        </is>
      </c>
      <c r="D16" s="4">
        <f>IF(B16="","",INDEX(PRODUCTOS!$B:$B,MATCH(B16,PRODUCTOS!$A:$A,0))&amp;CHAR(10)&amp;INDEX(PRODUCTOS!$C:$C,MATCH(B16,PRODUCTOS!$A:$A,0)))</f>
      </c>
      <c r="E16" s="3">
        <v>20</v>
      </c>
      <c r="F16" s="3">
        <f>IF(B16="","",IF($N$1="Final",INDEX(PRODUCTOS!$F:$F,MATCH(B16,PRODUCTOS!$A:$A,0)),INDEX(PRODUCTOS!$G:$G,MATCH(B16,PRODUCTOS!$A:$A,0))))</f>
      </c>
      <c r="G16" s="3">
        <f>IFERROR(E16*F16,0)</f>
      </c>
      <c r="H16" s="3">
        <f>IF(B16="","",INDEX(PRODUCTOS!$E:$E,MATCH(B16,PRODUCTOS!$A:$A,0)))</f>
      </c>
      <c r="I16" s="3">
        <f>IFERROR(E16*H16,0)</f>
      </c>
      <c r="J16" s="3">
        <f>IFERROR(G16-I16,0)</f>
      </c>
      <c r="K16" s="5">
        <f>IFERROR(J16/G16,0)</f>
      </c>
      <c r="L16" s="0">
        <f>IF(B16="","",INDEX(PRODUCTOS!$D:$D,MATCH(B16,PRODUCTOS!$A:$A,0)))</f>
      </c>
    </row>
    <row r="17">
      <c r="A17" s="0">
        <v>10</v>
      </c>
      <c r="B17" t="inlineStr" s="6">
        <is>
          <t>CONECTOR-DC</t>
        </is>
      </c>
      <c r="C17" t="inlineStr" s="0">
        <is>
          <t/>
        </is>
      </c>
      <c r="D17" s="4">
        <f>IF(B17="","",INDEX(PRODUCTOS!$B:$B,MATCH(B17,PRODUCTOS!$A:$A,0))&amp;CHAR(10)&amp;INDEX(PRODUCTOS!$C:$C,MATCH(B17,PRODUCTOS!$A:$A,0)))</f>
      </c>
      <c r="E17" s="3">
        <v>20</v>
      </c>
      <c r="F17" s="3">
        <f>IF(B17="","",IF($N$1="Final",INDEX(PRODUCTOS!$F:$F,MATCH(B17,PRODUCTOS!$A:$A,0)),INDEX(PRODUCTOS!$G:$G,MATCH(B17,PRODUCTOS!$A:$A,0))))</f>
      </c>
      <c r="G17" s="3">
        <f>IFERROR(E17*F17,0)</f>
      </c>
      <c r="H17" s="3">
        <f>IF(B17="","",INDEX(PRODUCTOS!$E:$E,MATCH(B17,PRODUCTOS!$A:$A,0)))</f>
      </c>
      <c r="I17" s="3">
        <f>IFERROR(E17*H17,0)</f>
      </c>
      <c r="J17" s="3">
        <f>IFERROR(G17-I17,0)</f>
      </c>
      <c r="K17" s="5">
        <f>IFERROR(J17/G17,0)</f>
      </c>
      <c r="L17" s="0">
        <f>IF(B17="","",INDEX(PRODUCTOS!$D:$D,MATCH(B17,PRODUCTOS!$A:$A,0)))</f>
      </c>
    </row>
    <row r="18">
      <c r="A18" s="0">
        <v>11</v>
      </c>
      <c r="B18" t="inlineStr" s="6">
        <is>
          <t>UTP-CAT5E</t>
        </is>
      </c>
      <c r="C18" t="inlineStr" s="0">
        <is>
          <t/>
        </is>
      </c>
      <c r="D18" s="4">
        <f>IF(B18="","",INDEX(PRODUCTOS!$B:$B,MATCH(B18,PRODUCTOS!$A:$A,0))&amp;CHAR(10)&amp;INDEX(PRODUCTOS!$C:$C,MATCH(B18,PRODUCTOS!$A:$A,0)))</f>
      </c>
      <c r="E18" s="3">
        <v>1</v>
      </c>
      <c r="F18" s="3">
        <f>IF(B18="","",IF($N$1="Final",INDEX(PRODUCTOS!$F:$F,MATCH(B18,PRODUCTOS!$A:$A,0)),INDEX(PRODUCTOS!$G:$G,MATCH(B18,PRODUCTOS!$A:$A,0))))</f>
      </c>
      <c r="G18" s="3">
        <f>IFERROR(E18*F18,0)</f>
      </c>
      <c r="H18" s="3">
        <f>IF(B18="","",INDEX(PRODUCTOS!$E:$E,MATCH(B18,PRODUCTOS!$A:$A,0)))</f>
      </c>
      <c r="I18" s="3">
        <f>IFERROR(E18*H18,0)</f>
      </c>
      <c r="J18" s="3">
        <f>IFERROR(G18-I18,0)</f>
      </c>
      <c r="K18" s="5">
        <f>IFERROR(J18/G18,0)</f>
      </c>
      <c r="L18" s="0">
        <f>IF(B18="","",INDEX(PRODUCTOS!$D:$D,MATCH(B18,PRODUCTOS!$A:$A,0)))</f>
      </c>
    </row>
    <row r="19">
      <c r="A19" s="0">
        <v>12</v>
      </c>
      <c r="B19" t="inlineStr" s="6">
        <is>
          <t>CAJA-PASO</t>
        </is>
      </c>
      <c r="C19" t="inlineStr" s="0">
        <is>
          <t/>
        </is>
      </c>
      <c r="D19" s="4">
        <f>IF(B19="","",INDEX(PRODUCTOS!$B:$B,MATCH(B19,PRODUCTOS!$A:$A,0))&amp;CHAR(10)&amp;INDEX(PRODUCTOS!$C:$C,MATCH(B19,PRODUCTOS!$A:$A,0)))</f>
      </c>
      <c r="E19" s="3">
        <v>4</v>
      </c>
      <c r="F19" s="3">
        <f>IF(B19="","",IF($N$1="Final",INDEX(PRODUCTOS!$F:$F,MATCH(B19,PRODUCTOS!$A:$A,0)),INDEX(PRODUCTOS!$G:$G,MATCH(B19,PRODUCTOS!$A:$A,0))))</f>
      </c>
      <c r="G19" s="3">
        <f>IFERROR(E19*F19,0)</f>
      </c>
      <c r="H19" s="3">
        <f>IF(B19="","",INDEX(PRODUCTOS!$E:$E,MATCH(B19,PRODUCTOS!$A:$A,0)))</f>
      </c>
      <c r="I19" s="3">
        <f>IFERROR(E19*H19,0)</f>
      </c>
      <c r="J19" s="3">
        <f>IFERROR(G19-I19,0)</f>
      </c>
      <c r="K19" s="5">
        <f>IFERROR(J19/G19,0)</f>
      </c>
      <c r="L19" s="0">
        <f>IF(B19="","",INDEX(PRODUCTOS!$D:$D,MATCH(B19,PRODUCTOS!$A:$A,0)))</f>
      </c>
    </row>
    <row r="20">
      <c r="A20" s="0">
        <v>13</v>
      </c>
      <c r="B20" t="inlineStr" s="6">
        <is>
          <t>BALUN-HD</t>
        </is>
      </c>
      <c r="C20" t="inlineStr" s="0">
        <is>
          <t/>
        </is>
      </c>
      <c r="D20" s="4">
        <f>IF(B20="","",INDEX(PRODUCTOS!$B:$B,MATCH(B20,PRODUCTOS!$A:$A,0))&amp;CHAR(10)&amp;INDEX(PRODUCTOS!$C:$C,MATCH(B20,PRODUCTOS!$A:$A,0)))</f>
      </c>
      <c r="E20" s="3">
        <v>8</v>
      </c>
      <c r="F20" s="3">
        <f>IF(B20="","",IF($N$1="Final",INDEX(PRODUCTOS!$F:$F,MATCH(B20,PRODUCTOS!$A:$A,0)),INDEX(PRODUCTOS!$G:$G,MATCH(B20,PRODUCTOS!$A:$A,0))))</f>
      </c>
      <c r="G20" s="3">
        <f>IFERROR(E20*F20,0)</f>
      </c>
      <c r="H20" s="3">
        <f>IF(B20="","",INDEX(PRODUCTOS!$E:$E,MATCH(B20,PRODUCTOS!$A:$A,0)))</f>
      </c>
      <c r="I20" s="3">
        <f>IFERROR(E20*H20,0)</f>
      </c>
      <c r="J20" s="3">
        <f>IFERROR(G20-I20,0)</f>
      </c>
      <c r="K20" s="5">
        <f>IFERROR(J20/G20,0)</f>
      </c>
      <c r="L20" s="0">
        <f>IF(B20="","",INDEX(PRODUCTOS!$D:$D,MATCH(B20,PRODUCTOS!$A:$A,0)))</f>
      </c>
    </row>
    <row r="21">
      <c r="A21" s="0">
        <v>14</v>
      </c>
      <c r="B21" t="inlineStr" s="6">
        <is>
          <t>SWITCH-8P</t>
        </is>
      </c>
      <c r="C21" t="inlineStr" s="0">
        <is>
          <t/>
        </is>
      </c>
      <c r="D21" s="4">
        <f>IF(B21="","",INDEX(PRODUCTOS!$B:$B,MATCH(B21,PRODUCTOS!$A:$A,0))&amp;CHAR(10)&amp;INDEX(PRODUCTOS!$C:$C,MATCH(B21,PRODUCTOS!$A:$A,0)))</f>
      </c>
      <c r="E21" s="3">
        <v>1</v>
      </c>
      <c r="F21" s="3">
        <f>IF(B21="","",IF($N$1="Final",INDEX(PRODUCTOS!$F:$F,MATCH(B21,PRODUCTOS!$A:$A,0)),INDEX(PRODUCTOS!$G:$G,MATCH(B21,PRODUCTOS!$A:$A,0))))</f>
      </c>
      <c r="G21" s="3">
        <f>IFERROR(E21*F21,0)</f>
      </c>
      <c r="H21" s="3">
        <f>IF(B21="","",INDEX(PRODUCTOS!$E:$E,MATCH(B21,PRODUCTOS!$A:$A,0)))</f>
      </c>
      <c r="I21" s="3">
        <f>IFERROR(E21*H21,0)</f>
      </c>
      <c r="J21" s="3">
        <f>IFERROR(G21-I21,0)</f>
      </c>
      <c r="K21" s="5">
        <f>IFERROR(J21/G21,0)</f>
      </c>
      <c r="L21" s="0">
        <f>IF(B21="","",INDEX(PRODUCTOS!$D:$D,MATCH(B21,PRODUCTOS!$A:$A,0)))</f>
      </c>
    </row>
    <row r="22">
      <c r="A22" s="0">
        <v>15</v>
      </c>
      <c r="B22" t="inlineStr" s="6">
        <is>
          <t>RACK-6U</t>
        </is>
      </c>
      <c r="C22" t="inlineStr" s="0">
        <is>
          <t/>
        </is>
      </c>
      <c r="D22" s="4">
        <f>IF(B22="","",INDEX(PRODUCTOS!$B:$B,MATCH(B22,PRODUCTOS!$A:$A,0))&amp;CHAR(10)&amp;INDEX(PRODUCTOS!$C:$C,MATCH(B22,PRODUCTOS!$A:$A,0)))</f>
      </c>
      <c r="E22" s="3">
        <v>1</v>
      </c>
      <c r="F22" s="3">
        <f>IF(B22="","",IF($N$1="Final",INDEX(PRODUCTOS!$F:$F,MATCH(B22,PRODUCTOS!$A:$A,0)),INDEX(PRODUCTOS!$G:$G,MATCH(B22,PRODUCTOS!$A:$A,0))))</f>
      </c>
      <c r="G22" s="3">
        <f>IFERROR(E22*F22,0)</f>
      </c>
      <c r="H22" s="3">
        <f>IF(B22="","",INDEX(PRODUCTOS!$E:$E,MATCH(B22,PRODUCTOS!$A:$A,0)))</f>
      </c>
      <c r="I22" s="3">
        <f>IFERROR(E22*H22,0)</f>
      </c>
      <c r="J22" s="3">
        <f>IFERROR(G22-I22,0)</f>
      </c>
      <c r="K22" s="5">
        <f>IFERROR(J22/G22,0)</f>
      </c>
      <c r="L22" s="0">
        <f>IF(B22="","",INDEX(PRODUCTOS!$D:$D,MATCH(B22,PRODUCTOS!$A:$A,0)))</f>
      </c>
    </row>
    <row r="23">
      <c r="A23" s="0">
        <v>16</v>
      </c>
      <c r="B23" t="inlineStr" s="6">
        <is>
          <t>CAM-2MP-DOMO</t>
        </is>
      </c>
      <c r="C23" t="inlineStr" s="0">
        <is>
          <t/>
        </is>
      </c>
      <c r="D23" s="4">
        <f>IF(B23="","",INDEX(PRODUCTOS!$B:$B,MATCH(B23,PRODUCTOS!$A:$A,0))&amp;CHAR(10)&amp;INDEX(PRODUCTOS!$C:$C,MATCH(B23,PRODUCTOS!$A:$A,0)))</f>
      </c>
      <c r="E23" s="3">
        <v>2</v>
      </c>
      <c r="F23" s="3">
        <f>IF(B23="","",IF($N$1="Final",INDEX(PRODUCTOS!$F:$F,MATCH(B23,PRODUCTOS!$A:$A,0)),INDEX(PRODUCTOS!$G:$G,MATCH(B23,PRODUCTOS!$A:$A,0))))</f>
      </c>
      <c r="G23" s="3">
        <f>IFERROR(E23*F23,0)</f>
      </c>
      <c r="H23" s="3">
        <f>IF(B23="","",INDEX(PRODUCTOS!$E:$E,MATCH(B23,PRODUCTOS!$A:$A,0)))</f>
      </c>
      <c r="I23" s="3">
        <f>IFERROR(E23*H23,0)</f>
      </c>
      <c r="J23" s="3">
        <f>IFERROR(G23-I23,0)</f>
      </c>
      <c r="K23" s="5">
        <f>IFERROR(J23/G23,0)</f>
      </c>
      <c r="L23" s="0">
        <f>IF(B23="","",INDEX(PRODUCTOS!$D:$D,MATCH(B23,PRODUCTOS!$A:$A,0)))</f>
      </c>
    </row>
    <row r="24">
      <c r="A24" s="0">
        <v>17</v>
      </c>
      <c r="B24" t="inlineStr" s="6">
        <is>
          <t>CAM-2MP-BALA</t>
        </is>
      </c>
      <c r="C24" t="inlineStr" s="0">
        <is>
          <t/>
        </is>
      </c>
      <c r="D24" s="4">
        <f>IF(B24="","",INDEX(PRODUCTOS!$B:$B,MATCH(B24,PRODUCTOS!$A:$A,0))&amp;CHAR(10)&amp;INDEX(PRODUCTOS!$C:$C,MATCH(B24,PRODUCTOS!$A:$A,0)))</f>
      </c>
      <c r="E24" s="3">
        <v>2</v>
      </c>
      <c r="F24" s="3">
        <f>IF(B24="","",IF($N$1="Final",INDEX(PRODUCTOS!$F:$F,MATCH(B24,PRODUCTOS!$A:$A,0)),INDEX(PRODUCTOS!$G:$G,MATCH(B24,PRODUCTOS!$A:$A,0))))</f>
      </c>
      <c r="G24" s="3">
        <f>IFERROR(E24*F24,0)</f>
      </c>
      <c r="H24" s="3">
        <f>IF(B24="","",INDEX(PRODUCTOS!$E:$E,MATCH(B24,PRODUCTOS!$A:$A,0)))</f>
      </c>
      <c r="I24" s="3">
        <f>IFERROR(E24*H24,0)</f>
      </c>
      <c r="J24" s="3">
        <f>IFERROR(G24-I24,0)</f>
      </c>
      <c r="K24" s="5">
        <f>IFERROR(J24/G24,0)</f>
      </c>
      <c r="L24" s="0">
        <f>IF(B24="","",INDEX(PRODUCTOS!$D:$D,MATCH(B24,PRODUCTOS!$A:$A,0)))</f>
      </c>
    </row>
    <row r="25">
      <c r="A25" s="0">
        <v>18</v>
      </c>
      <c r="B25" t="inlineStr" s="6">
        <is>
          <t>DVR-8CH-XM</t>
        </is>
      </c>
      <c r="C25" t="inlineStr" s="0">
        <is>
          <t/>
        </is>
      </c>
      <c r="D25" s="4">
        <f>IF(B25="","",INDEX(PRODUCTOS!$B:$B,MATCH(B25,PRODUCTOS!$A:$A,0))&amp;CHAR(10)&amp;INDEX(PRODUCTOS!$C:$C,MATCH(B25,PRODUCTOS!$A:$A,0)))</f>
      </c>
      <c r="E25" s="3">
        <v>1</v>
      </c>
      <c r="F25" s="3">
        <f>IF(B25="","",IF($N$1="Final",INDEX(PRODUCTOS!$F:$F,MATCH(B25,PRODUCTOS!$A:$A,0)),INDEX(PRODUCTOS!$G:$G,MATCH(B25,PRODUCTOS!$A:$A,0))))</f>
      </c>
      <c r="G25" s="3">
        <f>IFERROR(E25*F25,0)</f>
      </c>
      <c r="H25" s="3">
        <f>IF(B25="","",INDEX(PRODUCTOS!$E:$E,MATCH(B25,PRODUCTOS!$A:$A,0)))</f>
      </c>
      <c r="I25" s="3">
        <f>IFERROR(E25*H25,0)</f>
      </c>
      <c r="J25" s="3">
        <f>IFERROR(G25-I25,0)</f>
      </c>
      <c r="K25" s="5">
        <f>IFERROR(J25/G25,0)</f>
      </c>
      <c r="L25" s="0">
        <f>IF(B25="","",INDEX(PRODUCTOS!$D:$D,MATCH(B25,PRODUCTOS!$A:$A,0)))</f>
      </c>
    </row>
    <row r="26">
      <c r="A26" s="0">
        <v>19</v>
      </c>
      <c r="B26" t="inlineStr" s="6">
        <is>
          <t>HDD-1TB-WD</t>
        </is>
      </c>
      <c r="C26" t="inlineStr" s="0">
        <is>
          <t/>
        </is>
      </c>
      <c r="D26" s="4">
        <f>IF(B26="","",INDEX(PRODUCTOS!$B:$B,MATCH(B26,PRODUCTOS!$A:$A,0))&amp;CHAR(10)&amp;INDEX(PRODUCTOS!$C:$C,MATCH(B26,PRODUCTOS!$A:$A,0)))</f>
      </c>
      <c r="E26" s="3">
        <v>1</v>
      </c>
      <c r="F26" s="3">
        <f>IF(B26="","",IF($N$1="Final",INDEX(PRODUCTOS!$F:$F,MATCH(B26,PRODUCTOS!$A:$A,0)),INDEX(PRODUCTOS!$G:$G,MATCH(B26,PRODUCTOS!$A:$A,0))))</f>
      </c>
      <c r="G26" s="3">
        <f>IFERROR(E26*F26,0)</f>
      </c>
      <c r="H26" s="3">
        <f>IF(B26="","",INDEX(PRODUCTOS!$E:$E,MATCH(B26,PRODUCTOS!$A:$A,0)))</f>
      </c>
      <c r="I26" s="3">
        <f>IFERROR(E26*H26,0)</f>
      </c>
      <c r="J26" s="3">
        <f>IFERROR(G26-I26,0)</f>
      </c>
      <c r="K26" s="5">
        <f>IFERROR(J26/G26,0)</f>
      </c>
      <c r="L26" s="0">
        <f>IF(B26="","",INDEX(PRODUCTOS!$D:$D,MATCH(B26,PRODUCTOS!$A:$A,0)))</f>
      </c>
    </row>
    <row r="27">
      <c r="A27" s="0">
        <v>20</v>
      </c>
      <c r="B27" t="inlineStr" s="6">
        <is>
          <t>FUENTE-12V10A</t>
        </is>
      </c>
      <c r="C27" t="inlineStr" s="0">
        <is>
          <t/>
        </is>
      </c>
      <c r="D27" s="4">
        <f>IF(B27="","",INDEX(PRODUCTOS!$B:$B,MATCH(B27,PRODUCTOS!$A:$A,0))&amp;CHAR(10)&amp;INDEX(PRODUCTOS!$C:$C,MATCH(B27,PRODUCTOS!$A:$A,0)))</f>
      </c>
      <c r="E27" s="3">
        <v>1</v>
      </c>
      <c r="F27" s="3">
        <f>IF(B27="","",IF($N$1="Final",INDEX(PRODUCTOS!$F:$F,MATCH(B27,PRODUCTOS!$A:$A,0)),INDEX(PRODUCTOS!$G:$G,MATCH(B27,PRODUCTOS!$A:$A,0))))</f>
      </c>
      <c r="G27" s="3">
        <f>IFERROR(E27*F27,0)</f>
      </c>
      <c r="H27" s="3">
        <f>IF(B27="","",INDEX(PRODUCTOS!$E:$E,MATCH(B27,PRODUCTOS!$A:$A,0)))</f>
      </c>
      <c r="I27" s="3">
        <f>IFERROR(E27*H27,0)</f>
      </c>
      <c r="J27" s="3">
        <f>IFERROR(G27-I27,0)</f>
      </c>
      <c r="K27" s="5">
        <f>IFERROR(J27/G27,0)</f>
      </c>
      <c r="L27" s="0">
        <f>IF(B27="","",INDEX(PRODUCTOS!$D:$D,MATCH(B27,PRODUCTOS!$A:$A,0)))</f>
      </c>
    </row>
    <row r="28">
      <c r="A28" s="0">
        <v>21</v>
      </c>
      <c r="B28" t="inlineStr" s="6">
        <is>
          <t>UTP-CAT5E</t>
        </is>
      </c>
      <c r="C28" t="inlineStr" s="0">
        <is>
          <t/>
        </is>
      </c>
      <c r="D28" s="4">
        <f>IF(B28="","",INDEX(PRODUCTOS!$B:$B,MATCH(B28,PRODUCTOS!$A:$A,0))&amp;CHAR(10)&amp;INDEX(PRODUCTOS!$C:$C,MATCH(B28,PRODUCTOS!$A:$A,0)))</f>
      </c>
      <c r="E28" s="3">
        <v>1</v>
      </c>
      <c r="F28" s="3">
        <f>IF(B28="","",IF($N$1="Final",INDEX(PRODUCTOS!$F:$F,MATCH(B28,PRODUCTOS!$A:$A,0)),INDEX(PRODUCTOS!$G:$G,MATCH(B28,PRODUCTOS!$A:$A,0))))</f>
      </c>
      <c r="G28" s="3">
        <f>IFERROR(E28*F28,0)</f>
      </c>
      <c r="H28" s="3">
        <f>IF(B28="","",INDEX(PRODUCTOS!$E:$E,MATCH(B28,PRODUCTOS!$A:$A,0)))</f>
      </c>
      <c r="I28" s="3">
        <f>IFERROR(E28*H28,0)</f>
      </c>
      <c r="J28" s="3">
        <f>IFERROR(G28-I28,0)</f>
      </c>
      <c r="K28" s="5">
        <f>IFERROR(J28/G28,0)</f>
      </c>
      <c r="L28" s="0">
        <f>IF(B28="","",INDEX(PRODUCTOS!$D:$D,MATCH(B28,PRODUCTOS!$A:$A,0)))</f>
      </c>
    </row>
    <row r="29">
      <c r="A29" s="0">
        <v>22</v>
      </c>
      <c r="B29" t="inlineStr" s="6">
        <is>
          <t>CAJA-PASO</t>
        </is>
      </c>
      <c r="C29" t="inlineStr" s="0">
        <is>
          <t/>
        </is>
      </c>
      <c r="D29" s="4">
        <f>IF(B29="","",INDEX(PRODUCTOS!$B:$B,MATCH(B29,PRODUCTOS!$A:$A,0))&amp;CHAR(10)&amp;INDEX(PRODUCTOS!$C:$C,MATCH(B29,PRODUCTOS!$A:$A,0)))</f>
      </c>
      <c r="E29" s="3">
        <v>4</v>
      </c>
      <c r="F29" s="3">
        <f>IF(B29="","",IF($N$1="Final",INDEX(PRODUCTOS!$F:$F,MATCH(B29,PRODUCTOS!$A:$A,0)),INDEX(PRODUCTOS!$G:$G,MATCH(B29,PRODUCTOS!$A:$A,0))))</f>
      </c>
      <c r="G29" s="3">
        <f>IFERROR(E29*F29,0)</f>
      </c>
      <c r="H29" s="3">
        <f>IF(B29="","",INDEX(PRODUCTOS!$E:$E,MATCH(B29,PRODUCTOS!$A:$A,0)))</f>
      </c>
      <c r="I29" s="3">
        <f>IFERROR(E29*H29,0)</f>
      </c>
      <c r="J29" s="3">
        <f>IFERROR(G29-I29,0)</f>
      </c>
      <c r="K29" s="5">
        <f>IFERROR(J29/G29,0)</f>
      </c>
      <c r="L29" s="0">
        <f>IF(B29="","",INDEX(PRODUCTOS!$D:$D,MATCH(B29,PRODUCTOS!$A:$A,0)))</f>
      </c>
    </row>
    <row r="30">
      <c r="A30" s="0">
        <v>23</v>
      </c>
      <c r="B30" t="inlineStr" s="6">
        <is>
          <t>MO-PUNTO</t>
        </is>
      </c>
      <c r="C30" t="inlineStr" s="0">
        <is>
          <t/>
        </is>
      </c>
      <c r="D30" s="4">
        <f>IF(B30="","",INDEX(PRODUCTOS!$B:$B,MATCH(B30,PRODUCTOS!$A:$A,0))&amp;CHAR(10)&amp;INDEX(PRODUCTOS!$C:$C,MATCH(B30,PRODUCTOS!$A:$A,0)))</f>
      </c>
      <c r="E30" s="3">
        <v>4</v>
      </c>
      <c r="F30" s="3">
        <f>IF(B30="","",IF($N$1="Final",INDEX(PRODUCTOS!$F:$F,MATCH(B30,PRODUCTOS!$A:$A,0)),INDEX(PRODUCTOS!$G:$G,MATCH(B30,PRODUCTOS!$A:$A,0))))</f>
      </c>
      <c r="G30" s="3">
        <f>IFERROR(E30*F30,0)</f>
      </c>
      <c r="H30" s="3">
        <f>IF(B30="","",INDEX(PRODUCTOS!$E:$E,MATCH(B30,PRODUCTOS!$A:$A,0)))</f>
      </c>
      <c r="I30" s="3">
        <f>IFERROR(E30*H30,0)</f>
      </c>
      <c r="J30" s="3">
        <f>IFERROR(G30-I30,0)</f>
      </c>
      <c r="K30" s="5">
        <f>IFERROR(J30/G30,0)</f>
      </c>
      <c r="L30" s="0">
        <f>IF(B30="","",INDEX(PRODUCTOS!$D:$D,MATCH(B30,PRODUCTOS!$A:$A,0)))</f>
      </c>
    </row>
    <row r="31">
      <c r="A31" s="0">
        <v>24</v>
      </c>
      <c r="B31" t="inlineStr" s="6">
        <is>
          <t>MO-PUNTO</t>
        </is>
      </c>
      <c r="C31" t="inlineStr" s="0">
        <is>
          <t/>
        </is>
      </c>
      <c r="D31" s="4">
        <f>IF(B31="","",INDEX(PRODUCTOS!$B:$B,MATCH(B31,PRODUCTOS!$A:$A,0))&amp;CHAR(10)&amp;INDEX(PRODUCTOS!$C:$C,MATCH(B31,PRODUCTOS!$A:$A,0)))</f>
      </c>
      <c r="E31" s="3">
        <v>4</v>
      </c>
      <c r="F31" s="3">
        <f>IF(B31="","",IF($N$1="Final",INDEX(PRODUCTOS!$F:$F,MATCH(B31,PRODUCTOS!$A:$A,0)),INDEX(PRODUCTOS!$G:$G,MATCH(B31,PRODUCTOS!$A:$A,0))))</f>
      </c>
      <c r="G31" s="3">
        <f>IFERROR(E31*F31,0)</f>
      </c>
      <c r="H31" s="3">
        <f>IF(B31="","",INDEX(PRODUCTOS!$E:$E,MATCH(B31,PRODUCTOS!$A:$A,0)))</f>
      </c>
      <c r="I31" s="3">
        <f>IFERROR(E31*H31,0)</f>
      </c>
      <c r="J31" s="3">
        <f>IFERROR(G31-I31,0)</f>
      </c>
      <c r="K31" s="5">
        <f>IFERROR(J31/G31,0)</f>
      </c>
      <c r="L31" s="0">
        <f>IF(B31="","",INDEX(PRODUCTOS!$D:$D,MATCH(B31,PRODUCTOS!$A:$A,0)))</f>
      </c>
    </row>
    <row r="32">
      <c r="A32" s="0">
        <v>25</v>
      </c>
      <c r="B32" t="inlineStr" s="6">
        <is>
          <t/>
        </is>
      </c>
      <c r="C32" t="inlineStr" s="0">
        <is>
          <t/>
        </is>
      </c>
      <c r="D32" s="4">
        <f>IF(B32="","",INDEX(PRODUCTOS!$B:$B,MATCH(B32,PRODUCTOS!$A:$A,0))&amp;CHAR(10)&amp;INDEX(PRODUCTOS!$C:$C,MATCH(B32,PRODUCTOS!$A:$A,0)))</f>
      </c>
      <c r="E32" s="0"/>
      <c r="F32" s="3">
        <f>IF(B32="","",IF($N$1="Final",INDEX(PRODUCTOS!$F:$F,MATCH(B32,PRODUCTOS!$A:$A,0)),INDEX(PRODUCTOS!$G:$G,MATCH(B32,PRODUCTOS!$A:$A,0))))</f>
      </c>
      <c r="G32" s="3">
        <f>IFERROR(E32*F32,0)</f>
      </c>
      <c r="H32" s="3">
        <f>IF(B32="","",INDEX(PRODUCTOS!$E:$E,MATCH(B32,PRODUCTOS!$A:$A,0)))</f>
      </c>
      <c r="I32" s="3">
        <f>IFERROR(E32*H32,0)</f>
      </c>
      <c r="J32" s="3">
        <f>IFERROR(G32-I32,0)</f>
      </c>
      <c r="K32" s="5">
        <f>IFERROR(J32/G32,0)</f>
      </c>
      <c r="L32" s="0">
        <f>IF(B32="","",INDEX(PRODUCTOS!$D:$D,MATCH(B32,PRODUCTOS!$A:$A,0)))</f>
      </c>
    </row>
    <row r="33">
      <c r="A33" s="0">
        <v>26</v>
      </c>
      <c r="B33" t="inlineStr" s="6">
        <is>
          <t/>
        </is>
      </c>
      <c r="C33" t="inlineStr" s="0">
        <is>
          <t/>
        </is>
      </c>
      <c r="D33" s="4">
        <f>IF(B33="","",INDEX(PRODUCTOS!$B:$B,MATCH(B33,PRODUCTOS!$A:$A,0))&amp;CHAR(10)&amp;INDEX(PRODUCTOS!$C:$C,MATCH(B33,PRODUCTOS!$A:$A,0)))</f>
      </c>
      <c r="E33" s="0"/>
      <c r="F33" s="3">
        <f>IF(B33="","",IF($N$1="Final",INDEX(PRODUCTOS!$F:$F,MATCH(B33,PRODUCTOS!$A:$A,0)),INDEX(PRODUCTOS!$G:$G,MATCH(B33,PRODUCTOS!$A:$A,0))))</f>
      </c>
      <c r="G33" s="3">
        <f>IFERROR(E33*F33,0)</f>
      </c>
      <c r="H33" s="3">
        <f>IF(B33="","",INDEX(PRODUCTOS!$E:$E,MATCH(B33,PRODUCTOS!$A:$A,0)))</f>
      </c>
      <c r="I33" s="3">
        <f>IFERROR(E33*H33,0)</f>
      </c>
      <c r="J33" s="3">
        <f>IFERROR(G33-I33,0)</f>
      </c>
      <c r="K33" s="5">
        <f>IFERROR(J33/G33,0)</f>
      </c>
      <c r="L33" s="0">
        <f>IF(B33="","",INDEX(PRODUCTOS!$D:$D,MATCH(B33,PRODUCTOS!$A:$A,0)))</f>
      </c>
    </row>
    <row r="34">
      <c r="A34" s="0">
        <v>27</v>
      </c>
      <c r="B34" t="inlineStr" s="6">
        <is>
          <t/>
        </is>
      </c>
      <c r="C34" t="inlineStr" s="0">
        <is>
          <t/>
        </is>
      </c>
      <c r="D34" s="4">
        <f>IF(B34="","",INDEX(PRODUCTOS!$B:$B,MATCH(B34,PRODUCTOS!$A:$A,0))&amp;CHAR(10)&amp;INDEX(PRODUCTOS!$C:$C,MATCH(B34,PRODUCTOS!$A:$A,0)))</f>
      </c>
      <c r="E34" s="0"/>
      <c r="F34" s="3">
        <f>IF(B34="","",IF($N$1="Final",INDEX(PRODUCTOS!$F:$F,MATCH(B34,PRODUCTOS!$A:$A,0)),INDEX(PRODUCTOS!$G:$G,MATCH(B34,PRODUCTOS!$A:$A,0))))</f>
      </c>
      <c r="G34" s="3">
        <f>IFERROR(E34*F34,0)</f>
      </c>
      <c r="H34" s="3">
        <f>IF(B34="","",INDEX(PRODUCTOS!$E:$E,MATCH(B34,PRODUCTOS!$A:$A,0)))</f>
      </c>
      <c r="I34" s="3">
        <f>IFERROR(E34*H34,0)</f>
      </c>
      <c r="J34" s="3">
        <f>IFERROR(G34-I34,0)</f>
      </c>
      <c r="K34" s="5">
        <f>IFERROR(J34/G34,0)</f>
      </c>
      <c r="L34" s="0">
        <f>IF(B34="","",INDEX(PRODUCTOS!$D:$D,MATCH(B34,PRODUCTOS!$A:$A,0)))</f>
      </c>
    </row>
    <row r="35">
      <c r="A35" s="0">
        <v>28</v>
      </c>
      <c r="B35" t="inlineStr" s="6">
        <is>
          <t/>
        </is>
      </c>
      <c r="C35" t="inlineStr" s="0">
        <is>
          <t/>
        </is>
      </c>
      <c r="D35" s="4">
        <f>IF(B35="","",INDEX(PRODUCTOS!$B:$B,MATCH(B35,PRODUCTOS!$A:$A,0))&amp;CHAR(10)&amp;INDEX(PRODUCTOS!$C:$C,MATCH(B35,PRODUCTOS!$A:$A,0)))</f>
      </c>
      <c r="E35" s="0"/>
      <c r="F35" s="3">
        <f>IF(B35="","",IF($N$1="Final",INDEX(PRODUCTOS!$F:$F,MATCH(B35,PRODUCTOS!$A:$A,0)),INDEX(PRODUCTOS!$G:$G,MATCH(B35,PRODUCTOS!$A:$A,0))))</f>
      </c>
      <c r="G35" s="3">
        <f>IFERROR(E35*F35,0)</f>
      </c>
      <c r="H35" s="3">
        <f>IF(B35="","",INDEX(PRODUCTOS!$E:$E,MATCH(B35,PRODUCTOS!$A:$A,0)))</f>
      </c>
      <c r="I35" s="3">
        <f>IFERROR(E35*H35,0)</f>
      </c>
      <c r="J35" s="3">
        <f>IFERROR(G35-I35,0)</f>
      </c>
      <c r="K35" s="5">
        <f>IFERROR(J35/G35,0)</f>
      </c>
      <c r="L35" s="0">
        <f>IF(B35="","",INDEX(PRODUCTOS!$D:$D,MATCH(B35,PRODUCTOS!$A:$A,0)))</f>
      </c>
    </row>
    <row r="36">
      <c r="A36" s="0">
        <v>29</v>
      </c>
      <c r="B36" t="inlineStr" s="6">
        <is>
          <t/>
        </is>
      </c>
      <c r="C36" t="inlineStr" s="0">
        <is>
          <t/>
        </is>
      </c>
      <c r="D36" s="4">
        <f>IF(B36="","",INDEX(PRODUCTOS!$B:$B,MATCH(B36,PRODUCTOS!$A:$A,0))&amp;CHAR(10)&amp;INDEX(PRODUCTOS!$C:$C,MATCH(B36,PRODUCTOS!$A:$A,0)))</f>
      </c>
      <c r="E36" s="0"/>
      <c r="F36" s="3">
        <f>IF(B36="","",IF($N$1="Final",INDEX(PRODUCTOS!$F:$F,MATCH(B36,PRODUCTOS!$A:$A,0)),INDEX(PRODUCTOS!$G:$G,MATCH(B36,PRODUCTOS!$A:$A,0))))</f>
      </c>
      <c r="G36" s="3">
        <f>IFERROR(E36*F36,0)</f>
      </c>
      <c r="H36" s="3">
        <f>IF(B36="","",INDEX(PRODUCTOS!$E:$E,MATCH(B36,PRODUCTOS!$A:$A,0)))</f>
      </c>
      <c r="I36" s="3">
        <f>IFERROR(E36*H36,0)</f>
      </c>
      <c r="J36" s="3">
        <f>IFERROR(G36-I36,0)</f>
      </c>
      <c r="K36" s="5">
        <f>IFERROR(J36/G36,0)</f>
      </c>
      <c r="L36" s="0">
        <f>IF(B36="","",INDEX(PRODUCTOS!$D:$D,MATCH(B36,PRODUCTOS!$A:$A,0)))</f>
      </c>
    </row>
    <row r="37">
      <c r="A37" s="0">
        <v>30</v>
      </c>
      <c r="B37" t="inlineStr" s="6">
        <is>
          <t/>
        </is>
      </c>
      <c r="C37" t="inlineStr" s="0">
        <is>
          <t/>
        </is>
      </c>
      <c r="D37" s="4">
        <f>IF(B37="","",INDEX(PRODUCTOS!$B:$B,MATCH(B37,PRODUCTOS!$A:$A,0))&amp;CHAR(10)&amp;INDEX(PRODUCTOS!$C:$C,MATCH(B37,PRODUCTOS!$A:$A,0)))</f>
      </c>
      <c r="E37" s="0"/>
      <c r="F37" s="3">
        <f>IF(B37="","",IF($N$1="Final",INDEX(PRODUCTOS!$F:$F,MATCH(B37,PRODUCTOS!$A:$A,0)),INDEX(PRODUCTOS!$G:$G,MATCH(B37,PRODUCTOS!$A:$A,0))))</f>
      </c>
      <c r="G37" s="3">
        <f>IFERROR(E37*F37,0)</f>
      </c>
      <c r="H37" s="3">
        <f>IF(B37="","",INDEX(PRODUCTOS!$E:$E,MATCH(B37,PRODUCTOS!$A:$A,0)))</f>
      </c>
      <c r="I37" s="3">
        <f>IFERROR(E37*H37,0)</f>
      </c>
      <c r="J37" s="3">
        <f>IFERROR(G37-I37,0)</f>
      </c>
      <c r="K37" s="5">
        <f>IFERROR(J37/G37,0)</f>
      </c>
      <c r="L37" s="0">
        <f>IF(B37="","",INDEX(PRODUCTOS!$D:$D,MATCH(B37,PRODUCTOS!$A:$A,0)))</f>
      </c>
    </row>
    <row r="38">
      <c r="A38" s="0">
        <v>31</v>
      </c>
      <c r="B38" t="inlineStr" s="6">
        <is>
          <t/>
        </is>
      </c>
      <c r="C38" t="inlineStr" s="0">
        <is>
          <t/>
        </is>
      </c>
      <c r="D38" s="4">
        <f>IF(B38="","",INDEX(PRODUCTOS!$B:$B,MATCH(B38,PRODUCTOS!$A:$A,0))&amp;CHAR(10)&amp;INDEX(PRODUCTOS!$C:$C,MATCH(B38,PRODUCTOS!$A:$A,0)))</f>
      </c>
      <c r="E38" s="0"/>
      <c r="F38" s="3">
        <f>IF(B38="","",IF($N$1="Final",INDEX(PRODUCTOS!$F:$F,MATCH(B38,PRODUCTOS!$A:$A,0)),INDEX(PRODUCTOS!$G:$G,MATCH(B38,PRODUCTOS!$A:$A,0))))</f>
      </c>
      <c r="G38" s="3">
        <f>IFERROR(E38*F38,0)</f>
      </c>
      <c r="H38" s="3">
        <f>IF(B38="","",INDEX(PRODUCTOS!$E:$E,MATCH(B38,PRODUCTOS!$A:$A,0)))</f>
      </c>
      <c r="I38" s="3">
        <f>IFERROR(E38*H38,0)</f>
      </c>
      <c r="J38" s="3">
        <f>IFERROR(G38-I38,0)</f>
      </c>
      <c r="K38" s="5">
        <f>IFERROR(J38/G38,0)</f>
      </c>
      <c r="L38" s="0">
        <f>IF(B38="","",INDEX(PRODUCTOS!$D:$D,MATCH(B38,PRODUCTOS!$A:$A,0)))</f>
      </c>
    </row>
    <row r="39">
      <c r="A39" s="0">
        <v>32</v>
      </c>
      <c r="B39" t="inlineStr" s="6">
        <is>
          <t/>
        </is>
      </c>
      <c r="C39" t="inlineStr" s="0">
        <is>
          <t/>
        </is>
      </c>
      <c r="D39" s="4">
        <f>IF(B39="","",INDEX(PRODUCTOS!$B:$B,MATCH(B39,PRODUCTOS!$A:$A,0))&amp;CHAR(10)&amp;INDEX(PRODUCTOS!$C:$C,MATCH(B39,PRODUCTOS!$A:$A,0)))</f>
      </c>
      <c r="E39" s="0"/>
      <c r="F39" s="3">
        <f>IF(B39="","",IF($N$1="Final",INDEX(PRODUCTOS!$F:$F,MATCH(B39,PRODUCTOS!$A:$A,0)),INDEX(PRODUCTOS!$G:$G,MATCH(B39,PRODUCTOS!$A:$A,0))))</f>
      </c>
      <c r="G39" s="3">
        <f>IFERROR(E39*F39,0)</f>
      </c>
      <c r="H39" s="3">
        <f>IF(B39="","",INDEX(PRODUCTOS!$E:$E,MATCH(B39,PRODUCTOS!$A:$A,0)))</f>
      </c>
      <c r="I39" s="3">
        <f>IFERROR(E39*H39,0)</f>
      </c>
      <c r="J39" s="3">
        <f>IFERROR(G39-I39,0)</f>
      </c>
      <c r="K39" s="5">
        <f>IFERROR(J39/G39,0)</f>
      </c>
      <c r="L39" s="0">
        <f>IF(B39="","",INDEX(PRODUCTOS!$D:$D,MATCH(B39,PRODUCTOS!$A:$A,0)))</f>
      </c>
    </row>
    <row r="40">
      <c r="A40" s="0">
        <v>33</v>
      </c>
      <c r="B40" t="inlineStr" s="6">
        <is>
          <t/>
        </is>
      </c>
      <c r="C40" t="inlineStr" s="0">
        <is>
          <t/>
        </is>
      </c>
      <c r="D40" s="4">
        <f>IF(B40="","",INDEX(PRODUCTOS!$B:$B,MATCH(B40,PRODUCTOS!$A:$A,0))&amp;CHAR(10)&amp;INDEX(PRODUCTOS!$C:$C,MATCH(B40,PRODUCTOS!$A:$A,0)))</f>
      </c>
      <c r="E40" s="0"/>
      <c r="F40" s="3">
        <f>IF(B40="","",IF($N$1="Final",INDEX(PRODUCTOS!$F:$F,MATCH(B40,PRODUCTOS!$A:$A,0)),INDEX(PRODUCTOS!$G:$G,MATCH(B40,PRODUCTOS!$A:$A,0))))</f>
      </c>
      <c r="G40" s="3">
        <f>IFERROR(E40*F40,0)</f>
      </c>
      <c r="H40" s="3">
        <f>IF(B40="","",INDEX(PRODUCTOS!$E:$E,MATCH(B40,PRODUCTOS!$A:$A,0)))</f>
      </c>
      <c r="I40" s="3">
        <f>IFERROR(E40*H40,0)</f>
      </c>
      <c r="J40" s="3">
        <f>IFERROR(G40-I40,0)</f>
      </c>
      <c r="K40" s="5">
        <f>IFERROR(J40/G40,0)</f>
      </c>
      <c r="L40" s="0">
        <f>IF(B40="","",INDEX(PRODUCTOS!$D:$D,MATCH(B40,PRODUCTOS!$A:$A,0)))</f>
      </c>
    </row>
    <row r="41">
      <c r="A41" s="0">
        <v>34</v>
      </c>
      <c r="B41" t="inlineStr" s="6">
        <is>
          <t/>
        </is>
      </c>
      <c r="C41" t="inlineStr" s="0">
        <is>
          <t/>
        </is>
      </c>
      <c r="D41" s="4">
        <f>IF(B41="","",INDEX(PRODUCTOS!$B:$B,MATCH(B41,PRODUCTOS!$A:$A,0))&amp;CHAR(10)&amp;INDEX(PRODUCTOS!$C:$C,MATCH(B41,PRODUCTOS!$A:$A,0)))</f>
      </c>
      <c r="E41" s="0"/>
      <c r="F41" s="3">
        <f>IF(B41="","",IF($N$1="Final",INDEX(PRODUCTOS!$F:$F,MATCH(B41,PRODUCTOS!$A:$A,0)),INDEX(PRODUCTOS!$G:$G,MATCH(B41,PRODUCTOS!$A:$A,0))))</f>
      </c>
      <c r="G41" s="3">
        <f>IFERROR(E41*F41,0)</f>
      </c>
      <c r="H41" s="3">
        <f>IF(B41="","",INDEX(PRODUCTOS!$E:$E,MATCH(B41,PRODUCTOS!$A:$A,0)))</f>
      </c>
      <c r="I41" s="3">
        <f>IFERROR(E41*H41,0)</f>
      </c>
      <c r="J41" s="3">
        <f>IFERROR(G41-I41,0)</f>
      </c>
      <c r="K41" s="5">
        <f>IFERROR(J41/G41,0)</f>
      </c>
      <c r="L41" s="0">
        <f>IF(B41="","",INDEX(PRODUCTOS!$D:$D,MATCH(B41,PRODUCTOS!$A:$A,0)))</f>
      </c>
    </row>
    <row r="42">
      <c r="A42" s="0">
        <v>35</v>
      </c>
      <c r="B42" t="inlineStr" s="6">
        <is>
          <t/>
        </is>
      </c>
      <c r="C42" t="inlineStr" s="0">
        <is>
          <t/>
        </is>
      </c>
      <c r="D42" s="4">
        <f>IF(B42="","",INDEX(PRODUCTOS!$B:$B,MATCH(B42,PRODUCTOS!$A:$A,0))&amp;CHAR(10)&amp;INDEX(PRODUCTOS!$C:$C,MATCH(B42,PRODUCTOS!$A:$A,0)))</f>
      </c>
      <c r="E42" s="0"/>
      <c r="F42" s="3">
        <f>IF(B42="","",IF($N$1="Final",INDEX(PRODUCTOS!$F:$F,MATCH(B42,PRODUCTOS!$A:$A,0)),INDEX(PRODUCTOS!$G:$G,MATCH(B42,PRODUCTOS!$A:$A,0))))</f>
      </c>
      <c r="G42" s="3">
        <f>IFERROR(E42*F42,0)</f>
      </c>
      <c r="H42" s="3">
        <f>IF(B42="","",INDEX(PRODUCTOS!$E:$E,MATCH(B42,PRODUCTOS!$A:$A,0)))</f>
      </c>
      <c r="I42" s="3">
        <f>IFERROR(E42*H42,0)</f>
      </c>
      <c r="J42" s="3">
        <f>IFERROR(G42-I42,0)</f>
      </c>
      <c r="K42" s="5">
        <f>IFERROR(J42/G42,0)</f>
      </c>
      <c r="L42" s="0">
        <f>IF(B42="","",INDEX(PRODUCTOS!$D:$D,MATCH(B42,PRODUCTOS!$A:$A,0)))</f>
      </c>
    </row>
    <row r="43">
      <c r="A43" s="0">
        <v>36</v>
      </c>
      <c r="B43" t="inlineStr" s="6">
        <is>
          <t/>
        </is>
      </c>
      <c r="C43" t="inlineStr" s="0">
        <is>
          <t/>
        </is>
      </c>
      <c r="D43" s="4">
        <f>IF(B43="","",INDEX(PRODUCTOS!$B:$B,MATCH(B43,PRODUCTOS!$A:$A,0))&amp;CHAR(10)&amp;INDEX(PRODUCTOS!$C:$C,MATCH(B43,PRODUCTOS!$A:$A,0)))</f>
      </c>
      <c r="E43" s="0"/>
      <c r="F43" s="3">
        <f>IF(B43="","",IF($N$1="Final",INDEX(PRODUCTOS!$F:$F,MATCH(B43,PRODUCTOS!$A:$A,0)),INDEX(PRODUCTOS!$G:$G,MATCH(B43,PRODUCTOS!$A:$A,0))))</f>
      </c>
      <c r="G43" s="3">
        <f>IFERROR(E43*F43,0)</f>
      </c>
      <c r="H43" s="3">
        <f>IF(B43="","",INDEX(PRODUCTOS!$E:$E,MATCH(B43,PRODUCTOS!$A:$A,0)))</f>
      </c>
      <c r="I43" s="3">
        <f>IFERROR(E43*H43,0)</f>
      </c>
      <c r="J43" s="3">
        <f>IFERROR(G43-I43,0)</f>
      </c>
      <c r="K43" s="5">
        <f>IFERROR(J43/G43,0)</f>
      </c>
      <c r="L43" s="0">
        <f>IF(B43="","",INDEX(PRODUCTOS!$D:$D,MATCH(B43,PRODUCTOS!$A:$A,0)))</f>
      </c>
    </row>
    <row r="44">
      <c r="A44" s="0">
        <v>37</v>
      </c>
      <c r="B44" t="inlineStr" s="6">
        <is>
          <t/>
        </is>
      </c>
      <c r="C44" t="inlineStr" s="0">
        <is>
          <t/>
        </is>
      </c>
      <c r="D44" s="4">
        <f>IF(B44="","",INDEX(PRODUCTOS!$B:$B,MATCH(B44,PRODUCTOS!$A:$A,0))&amp;CHAR(10)&amp;INDEX(PRODUCTOS!$C:$C,MATCH(B44,PRODUCTOS!$A:$A,0)))</f>
      </c>
      <c r="E44" s="0"/>
      <c r="F44" s="3">
        <f>IF(B44="","",IF($N$1="Final",INDEX(PRODUCTOS!$F:$F,MATCH(B44,PRODUCTOS!$A:$A,0)),INDEX(PRODUCTOS!$G:$G,MATCH(B44,PRODUCTOS!$A:$A,0))))</f>
      </c>
      <c r="G44" s="3">
        <f>IFERROR(E44*F44,0)</f>
      </c>
      <c r="H44" s="3">
        <f>IF(B44="","",INDEX(PRODUCTOS!$E:$E,MATCH(B44,PRODUCTOS!$A:$A,0)))</f>
      </c>
      <c r="I44" s="3">
        <f>IFERROR(E44*H44,0)</f>
      </c>
      <c r="J44" s="3">
        <f>IFERROR(G44-I44,0)</f>
      </c>
      <c r="K44" s="5">
        <f>IFERROR(J44/G44,0)</f>
      </c>
      <c r="L44" s="0">
        <f>IF(B44="","",INDEX(PRODUCTOS!$D:$D,MATCH(B44,PRODUCTOS!$A:$A,0)))</f>
      </c>
    </row>
    <row r="45">
      <c r="A45" s="0">
        <v>38</v>
      </c>
      <c r="B45" t="inlineStr" s="6">
        <is>
          <t/>
        </is>
      </c>
      <c r="C45" t="inlineStr" s="0">
        <is>
          <t/>
        </is>
      </c>
      <c r="D45" s="4">
        <f>IF(B45="","",INDEX(PRODUCTOS!$B:$B,MATCH(B45,PRODUCTOS!$A:$A,0))&amp;CHAR(10)&amp;INDEX(PRODUCTOS!$C:$C,MATCH(B45,PRODUCTOS!$A:$A,0)))</f>
      </c>
      <c r="E45" s="0"/>
      <c r="F45" s="3">
        <f>IF(B45="","",IF($N$1="Final",INDEX(PRODUCTOS!$F:$F,MATCH(B45,PRODUCTOS!$A:$A,0)),INDEX(PRODUCTOS!$G:$G,MATCH(B45,PRODUCTOS!$A:$A,0))))</f>
      </c>
      <c r="G45" s="3">
        <f>IFERROR(E45*F45,0)</f>
      </c>
      <c r="H45" s="3">
        <f>IF(B45="","",INDEX(PRODUCTOS!$E:$E,MATCH(B45,PRODUCTOS!$A:$A,0)))</f>
      </c>
      <c r="I45" s="3">
        <f>IFERROR(E45*H45,0)</f>
      </c>
      <c r="J45" s="3">
        <f>IFERROR(G45-I45,0)</f>
      </c>
      <c r="K45" s="5">
        <f>IFERROR(J45/G45,0)</f>
      </c>
      <c r="L45" s="0">
        <f>IF(B45="","",INDEX(PRODUCTOS!$D:$D,MATCH(B45,PRODUCTOS!$A:$A,0)))</f>
      </c>
    </row>
    <row r="46">
      <c r="A46" s="0">
        <v>39</v>
      </c>
      <c r="B46" t="inlineStr" s="6">
        <is>
          <t/>
        </is>
      </c>
      <c r="C46" t="inlineStr" s="0">
        <is>
          <t/>
        </is>
      </c>
      <c r="D46" s="4">
        <f>IF(B46="","",INDEX(PRODUCTOS!$B:$B,MATCH(B46,PRODUCTOS!$A:$A,0))&amp;CHAR(10)&amp;INDEX(PRODUCTOS!$C:$C,MATCH(B46,PRODUCTOS!$A:$A,0)))</f>
      </c>
      <c r="E46" s="0"/>
      <c r="F46" s="3">
        <f>IF(B46="","",IF($N$1="Final",INDEX(PRODUCTOS!$F:$F,MATCH(B46,PRODUCTOS!$A:$A,0)),INDEX(PRODUCTOS!$G:$G,MATCH(B46,PRODUCTOS!$A:$A,0))))</f>
      </c>
      <c r="G46" s="3">
        <f>IFERROR(E46*F46,0)</f>
      </c>
      <c r="H46" s="3">
        <f>IF(B46="","",INDEX(PRODUCTOS!$E:$E,MATCH(B46,PRODUCTOS!$A:$A,0)))</f>
      </c>
      <c r="I46" s="3">
        <f>IFERROR(E46*H46,0)</f>
      </c>
      <c r="J46" s="3">
        <f>IFERROR(G46-I46,0)</f>
      </c>
      <c r="K46" s="5">
        <f>IFERROR(J46/G46,0)</f>
      </c>
      <c r="L46" s="0">
        <f>IF(B46="","",INDEX(PRODUCTOS!$D:$D,MATCH(B46,PRODUCTOS!$A:$A,0)))</f>
      </c>
    </row>
    <row r="47">
      <c r="A47" s="0">
        <v>40</v>
      </c>
      <c r="B47" t="inlineStr" s="6">
        <is>
          <t/>
        </is>
      </c>
      <c r="C47" t="inlineStr" s="0">
        <is>
          <t/>
        </is>
      </c>
      <c r="D47" s="4">
        <f>IF(B47="","",INDEX(PRODUCTOS!$B:$B,MATCH(B47,PRODUCTOS!$A:$A,0))&amp;CHAR(10)&amp;INDEX(PRODUCTOS!$C:$C,MATCH(B47,PRODUCTOS!$A:$A,0)))</f>
      </c>
      <c r="E47" s="0"/>
      <c r="F47" s="3">
        <f>IF(B47="","",IF($N$1="Final",INDEX(PRODUCTOS!$F:$F,MATCH(B47,PRODUCTOS!$A:$A,0)),INDEX(PRODUCTOS!$G:$G,MATCH(B47,PRODUCTOS!$A:$A,0))))</f>
      </c>
      <c r="G47" s="3">
        <f>IFERROR(E47*F47,0)</f>
      </c>
      <c r="H47" s="3">
        <f>IF(B47="","",INDEX(PRODUCTOS!$E:$E,MATCH(B47,PRODUCTOS!$A:$A,0)))</f>
      </c>
      <c r="I47" s="3">
        <f>IFERROR(E47*H47,0)</f>
      </c>
      <c r="J47" s="3">
        <f>IFERROR(G47-I47,0)</f>
      </c>
      <c r="K47" s="5">
        <f>IFERROR(J47/G47,0)</f>
      </c>
      <c r="L47" s="0">
        <f>IF(B47="","",INDEX(PRODUCTOS!$D:$D,MATCH(B47,PRODUCTOS!$A:$A,0)))</f>
      </c>
    </row>
    <row r="49">
      <c r="F49" t="inlineStr" s="2">
        <is>
          <t>SUBTOTAL</t>
        </is>
      </c>
      <c r="G49" s="2">
        <f>SUM(G8:G47)</f>
      </c>
    </row>
    <row r="50">
      <c r="F50" t="inlineStr" s="2">
        <is>
          <t>IVA %</t>
        </is>
      </c>
      <c r="G50" s="3">
        <v>0</v>
      </c>
    </row>
    <row r="51">
      <c r="F51" t="inlineStr" s="1">
        <is>
          <t>TOTAL</t>
        </is>
      </c>
      <c r="G51" s="1">
        <f>G49*(1+G50)</f>
      </c>
    </row>
  </sheetData>
  <mergeCells count="3">
    <mergeCell ref="A1:D2"/>
    <mergeCell ref="A4:G4"/>
    <mergeCell ref="A5:G5"/>
  </mergeCells>
  <dataValidations count="3">
    <dataValidation type="list" allowBlank="1" sqref="F1">
      <formula1>"COTIZACIÓN,NOTA DE VENTA"</formula1>
    </dataValidation>
    <dataValidation type="list" allowBlank="1" sqref="H2">
      <formula1>"Sí,No"</formula1>
    </dataValidation>
    <dataValidation type="list" allowBlank="1" sqref="N1">
      <formula1>"Final,Técnico"</formula1>
    </dataValidation>
  </dataValidations>
  <rowBreaks count="1" manualBreakCount="1">
    <brk id="33" man="1" max="16383" min="0"/>
  </rowBreaks>
  <printOptions horizontalCentered="0" verticalCentered="0"/>
  <pageMargins left="0.25" right="0.25" top="0.35" bottom="0.4" header="0.2" footer="0.2"/>
  <pageSetup paperSize="1" orientation="portrait" fitToWidth="1" fitToHeight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Data>
    <row r="1">
      <c r="A1" t="inlineStr" s="1">
        <is>
          <t>HISTORICO_COTIZACIONES</t>
        </is>
      </c>
    </row>
    <row r="2">
      <c r="A2" t="inlineStr" s="2">
        <is>
          <t>FECHA</t>
        </is>
      </c>
      <c r="B2" t="inlineStr" s="2">
        <is>
          <t>NRO</t>
        </is>
      </c>
      <c r="C2" t="inlineStr" s="2">
        <is>
          <t>DOC</t>
        </is>
      </c>
      <c r="D2" t="inlineStr" s="2">
        <is>
          <t>CLIENTE</t>
        </is>
      </c>
      <c r="E2" t="inlineStr" s="2">
        <is>
          <t>ITEMS</t>
        </is>
      </c>
      <c r="F2" t="inlineStr" s="2">
        <is>
          <t>TOTAL</t>
        </is>
      </c>
    </row>
    <row r="3">
      <c r="A3" t="inlineStr">
        <is>
          <t>2026-03-04</t>
        </is>
      </c>
      <c r="B3" t="inlineStr">
        <is>
          <t>COT-0101</t>
        </is>
      </c>
      <c r="C3" t="inlineStr">
        <is>
          <t>COTIZACIÓN</t>
        </is>
      </c>
      <c r="D3" t="inlineStr">
        <is>
          <t>Jesus Tarqui</t>
        </is>
      </c>
      <c r="E3">
        <v>12</v>
      </c>
      <c r="F3">
        <v>1840</v>
      </c>
    </row>
    <row r="4">
      <c r="A4" t="inlineStr">
        <is>
          <t>2026-03-04</t>
        </is>
      </c>
      <c r="B4" t="inlineStr">
        <is>
          <t>COT-0102</t>
        </is>
      </c>
      <c r="C4" t="inlineStr">
        <is>
          <t>COTIZACIÓN</t>
        </is>
      </c>
      <c r="D4" t="inlineStr">
        <is>
          <t>Jesus Tarqui</t>
        </is>
      </c>
      <c r="E4">
        <v>24</v>
      </c>
      <c r="F4">
        <f>COTIZACION!G51</f>
      </c>
    </row>
  </sheetData>
</worksheet>
</file>

<file path=xl/worksheets/sheet5.xml><?xml version="1.0" encoding="utf-8"?>
<worksheet xmlns="http://schemas.openxmlformats.org/spreadsheetml/2006/main" xmlns:r="http://schemas.openxmlformats.org/officeDocument/2006/relationships">
  <sheetData>
    <row r="1">
      <c r="A1" t="inlineStr" s="1">
        <is>
          <t>VENTAS</t>
        </is>
      </c>
    </row>
    <row r="2">
      <c r="A2" t="inlineStr" s="2">
        <is>
          <t>FECHA</t>
        </is>
      </c>
      <c r="B2" t="inlineStr" s="2">
        <is>
          <t>NRO</t>
        </is>
      </c>
      <c r="C2" t="inlineStr" s="2">
        <is>
          <t>CLIENTE</t>
        </is>
      </c>
      <c r="D2" t="inlineStr" s="2">
        <is>
          <t>TOTAL</t>
        </is>
      </c>
      <c r="E2" t="inlineStr" s="2">
        <is>
          <t>ESTADO</t>
        </is>
      </c>
    </row>
    <row r="3">
      <c r="A3" t="inlineStr">
        <is>
          <t>2026-03-04</t>
        </is>
      </c>
      <c r="B3" t="inlineStr">
        <is>
          <t>VTA-0042</t>
        </is>
      </c>
      <c r="C3" t="inlineStr">
        <is>
          <t>Cliente de ejemplo</t>
        </is>
      </c>
      <c r="D3">
        <v>990</v>
      </c>
      <c r="E3" t="inlineStr">
        <is>
          <t>Pagada</t>
        </is>
      </c>
    </row>
  </sheetData>
</worksheet>
</file>

<file path=xl/worksheets/sheet6.xml><?xml version="1.0" encoding="utf-8"?>
<worksheet xmlns="http://schemas.openxmlformats.org/spreadsheetml/2006/main" xmlns:r="http://schemas.openxmlformats.org/officeDocument/2006/relationships">
  <sheetData>
    <row r="1">
      <c r="A1" t="inlineStr" s="1">
        <is>
          <t>DASHBOARD</t>
        </is>
      </c>
    </row>
    <row r="3">
      <c r="A3" t="inlineStr" s="2">
        <is>
          <t>Cotizaciones por mes</t>
        </is>
      </c>
      <c r="B3" s="3">
        <f>COUNTIFS(HISTORICO_COTIZACIONES!A:A,"&gt;="&amp;DATE(YEAR(TODAY()),MONTH(TODAY()),1))</f>
      </c>
    </row>
    <row r="4">
      <c r="A4" t="inlineStr" s="2">
        <is>
          <t>Ventas por mes</t>
        </is>
      </c>
      <c r="B4" s="3">
        <f>COUNTIFS(VENTAS!A:A,"&gt;="&amp;DATE(YEAR(TODAY()),MONTH(TODAY()),1))</f>
      </c>
    </row>
    <row r="5">
      <c r="A5" t="inlineStr" s="2">
        <is>
          <t>% Conversión</t>
        </is>
      </c>
      <c r="B5" s="5">
        <f>IFERROR(B4/B3,0)</f>
      </c>
    </row>
  </sheetData>
</worksheet>
</file>
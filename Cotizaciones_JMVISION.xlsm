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</Types>
</file>

<file path=_rels/.rels><?xml version="1.0" encoding="UTF-8" standalone="yes"?>
<Relationships xmlns="http://schemas.openxmlformats.org/package/2006/relationships">
<Relationship Id="rId1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PRODUCTOS" sheetId="1" r:id="rId1"/>
    <sheet name="CLIENTES" sheetId="2" r:id="rId2"/>
    <sheet name="COTIZACION" sheetId="3" r:id="rId3"/>
    <sheet name="HISTORICO_COTIZACIONES" sheetId="4" r:id="rId4"/>
    <sheet name="VENTAS" sheetId="5" r:id="rId5"/>
    <sheet name="DASHBOARD" sheetId="6" r:id="rId6"/>
  </sheets>
  <definedNames>
    <definedName name="_xlnm.Print_Area" localSheetId="2">COTIZACION!$A$1:$F$33</definedName>
  </definedNames>
</workbook>
</file>

<file path=xl/styles.xml><?xml version="1.0" encoding="utf-8"?>
<styleSheet xmlns="http://schemas.openxmlformats.org/spreadsheetml/2006/main">
  <fonts count="3">
    <font>
      <sz val="11"/>
      <name val="Calibri"/>
    </font>
    <font>
      <b/>
      <sz val="14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4" fontId="0" fillId="0" borderId="0" xfId="0" applyNumberFormat="1"/>
    <xf numFmtId="0" fontId="0" fillId="0" borderId="0" xfId="0" applyAlignment="1">
      <alignment wrapText="1" vertical="top"/>
    </xf>
    <xf numFmtId="10" fontId="0" fillId="0" borderId="0" xfId="0" applyNumberFormat="1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<Relationship Id="rId1" Type="http://schemas.openxmlformats.org/officeDocument/2006/relationships/worksheet" Target="worksheets/sheet1.xml"/>
<Relationship Id="rId2" Type="http://schemas.openxmlformats.org/officeDocument/2006/relationships/worksheet" Target="worksheets/sheet2.xml"/>
<Relationship Id="rId3" Type="http://schemas.openxmlformats.org/officeDocument/2006/relationships/worksheet" Target="worksheets/sheet3.xml"/>
<Relationship Id="rId4" Type="http://schemas.openxmlformats.org/officeDocument/2006/relationships/worksheet" Target="worksheets/sheet4.xml"/>
<Relationship Id="rId5" Type="http://schemas.openxmlformats.org/officeDocument/2006/relationships/worksheet" Target="worksheets/sheet5.xml"/>
<Relationship Id="rId6" Type="http://schemas.openxmlformats.org/officeDocument/2006/relationships/worksheet" Target="worksheets/sheet6.xml"/>
<Relationship Id="rId7" Type="http://schemas.openxmlformats.org/officeDocument/2006/relationships/styles" Target="styles.xml"/>
</Relationships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PRODUCTOS JM-VISION</t>
        </is>
      </c>
    </row>
    <row r="2">
      <c r="A2" t="inlineStr" s="2">
        <is>
          <t>CODIGO</t>
        </is>
      </c>
      <c r="B2" t="inlineStr" s="2">
        <is>
          <t>NOMBRE</t>
        </is>
      </c>
      <c r="C2" t="inlineStr" s="2">
        <is>
          <t>DETALLE</t>
        </is>
      </c>
      <c r="D2" t="inlineStr" s="2">
        <is>
          <t>COSTO_MAYORISTA</t>
        </is>
      </c>
      <c r="E2" t="inlineStr" s="2">
        <is>
          <t>PRECIO_FINAL</t>
        </is>
      </c>
      <c r="F2" t="inlineStr" s="2">
        <is>
          <t>PRECIO_TECNICO</t>
        </is>
      </c>
      <c r="G2" t="inlineStr" s="2">
        <is>
          <t>ACTIVO</t>
        </is>
      </c>
    </row>
    <row r="3">
      <c r="A3" t="inlineStr" s="0">
        <is>
          <t>CAM-2MP-DOMO</t>
        </is>
      </c>
      <c r="B3" t="inlineStr" s="0">
        <is>
          <t>Camara Domo 2MP</t>
        </is>
      </c>
      <c r="C3" t="inlineStr" s="0">
        <is>
          <t>Lente 2.8mm, IR 30m, metalica</t>
        </is>
      </c>
      <c r="D3" s="0">
        <v>32</v>
      </c>
      <c r="E3" s="0">
        <v>58</v>
      </c>
      <c r="F3" s="0">
        <v>50</v>
      </c>
      <c r="G3" t="inlineStr" s="0">
        <is>
          <t>S</t>
        </is>
      </c>
    </row>
    <row r="4">
      <c r="A4" t="inlineStr" s="0">
        <is>
          <t>CAM-2MP-BALA</t>
        </is>
      </c>
      <c r="B4" t="inlineStr" s="0">
        <is>
          <t>Camara Bala 2MP</t>
        </is>
      </c>
      <c r="C4" t="inlineStr" s="0">
        <is>
          <t>IP66, IR 40m, lente 3.6mm</t>
        </is>
      </c>
      <c r="D4" s="0">
        <v>35</v>
      </c>
      <c r="E4" s="0">
        <v>62</v>
      </c>
      <c r="F4" s="0">
        <v>54</v>
      </c>
      <c r="G4" t="inlineStr" s="0">
        <is>
          <t>S</t>
        </is>
      </c>
    </row>
    <row r="5">
      <c r="A5" t="inlineStr" s="0">
        <is>
          <t>CAM-5MP-DOMO</t>
        </is>
      </c>
      <c r="B5" t="inlineStr" s="0">
        <is>
          <t>Camara Domo 5MP</t>
        </is>
      </c>
      <c r="C5" t="inlineStr" s="0">
        <is>
          <t>WDR, IR 30m, lente varifocal</t>
        </is>
      </c>
      <c r="D5" s="0">
        <v>48</v>
      </c>
      <c r="E5" s="0">
        <v>84</v>
      </c>
      <c r="F5" s="0">
        <v>74</v>
      </c>
      <c r="G5" t="inlineStr" s="0">
        <is>
          <t>S</t>
        </is>
      </c>
    </row>
    <row r="6">
      <c r="A6" t="inlineStr" s="0">
        <is>
          <t>DVR-8CH-XM</t>
        </is>
      </c>
      <c r="B6" t="inlineStr" s="0">
        <is>
          <t>Grabador DVR 8 Canales</t>
        </is>
      </c>
      <c r="C6" t="inlineStr" s="0">
        <is>
          <t>H.265+, 1080N, salida HDMI/VGA</t>
        </is>
      </c>
      <c r="D6" s="0">
        <v>75</v>
      </c>
      <c r="E6" s="0">
        <v>130</v>
      </c>
      <c r="F6" s="0">
        <v>115</v>
      </c>
      <c r="G6" t="inlineStr" s="0">
        <is>
          <t>S</t>
        </is>
      </c>
    </row>
    <row r="7">
      <c r="A7" t="inlineStr" s="0">
        <is>
          <t>NVR-8CH-POE</t>
        </is>
      </c>
      <c r="B7" t="inlineStr" s="0">
        <is>
          <t>Grabador NVR 8CH PoE</t>
        </is>
      </c>
      <c r="C7" t="inlineStr" s="0">
        <is>
          <t>PoE integrado, 4K, ONVIF</t>
        </is>
      </c>
      <c r="D7" s="0">
        <v>110</v>
      </c>
      <c r="E7" s="0">
        <v>188</v>
      </c>
      <c r="F7" s="0">
        <v>168</v>
      </c>
      <c r="G7" t="inlineStr" s="0">
        <is>
          <t>S</t>
        </is>
      </c>
    </row>
    <row r="8">
      <c r="A8" t="inlineStr" s="0">
        <is>
          <t>HDD-1TB-WD</t>
        </is>
      </c>
      <c r="B8" t="inlineStr" s="0">
        <is>
          <t>Disco Duro 1TB</t>
        </is>
      </c>
      <c r="C8" t="inlineStr" s="0">
        <is>
          <t>Especial videovigilancia 24/7</t>
        </is>
      </c>
      <c r="D8" s="0">
        <v>38</v>
      </c>
      <c r="E8" s="0">
        <v>62</v>
      </c>
      <c r="F8" s="0">
        <v>55</v>
      </c>
      <c r="G8" t="inlineStr" s="0">
        <is>
          <t>S</t>
        </is>
      </c>
    </row>
    <row r="9">
      <c r="A9" t="inlineStr" s="0">
        <is>
          <t>HDD-2TB-WD</t>
        </is>
      </c>
      <c r="B9" t="inlineStr" s="0">
        <is>
          <t>Disco Duro 2TB</t>
        </is>
      </c>
      <c r="C9" t="inlineStr" s="0">
        <is>
          <t>Especial videovigilancia 24/7</t>
        </is>
      </c>
      <c r="D9" s="0">
        <v>58</v>
      </c>
      <c r="E9" s="0">
        <v>95</v>
      </c>
      <c r="F9" s="0">
        <v>84</v>
      </c>
      <c r="G9" t="inlineStr" s="0">
        <is>
          <t>S</t>
        </is>
      </c>
    </row>
    <row r="10">
      <c r="A10" t="inlineStr" s="0">
        <is>
          <t>FUENTE-12V10A</t>
        </is>
      </c>
      <c r="B10" t="inlineStr" s="0">
        <is>
          <t>Fuente 12V 10A</t>
        </is>
      </c>
      <c r="C10" t="inlineStr" s="0">
        <is>
          <t>Fuente metalica regulada</t>
        </is>
      </c>
      <c r="D10" s="0">
        <v>18</v>
      </c>
      <c r="E10" s="0">
        <v>32</v>
      </c>
      <c r="F10" s="0">
        <v>28</v>
      </c>
      <c r="G10" t="inlineStr" s="0">
        <is>
          <t>S</t>
        </is>
      </c>
    </row>
    <row r="11">
      <c r="A11" t="inlineStr" s="0">
        <is>
          <t>CONECTOR-BNC</t>
        </is>
      </c>
      <c r="B11" t="inlineStr" s="0">
        <is>
          <t>Conector BNC</t>
        </is>
      </c>
      <c r="C11" t="inlineStr" s="0">
        <is>
          <t>Conector BNC macho a tornillo</t>
        </is>
      </c>
      <c r="D11" s="0">
        <v>0.35</v>
      </c>
      <c r="E11" s="0">
        <v>1</v>
      </c>
      <c r="F11" s="0">
        <v>0.8</v>
      </c>
      <c r="G11" t="inlineStr" s="0">
        <is>
          <t>S</t>
        </is>
      </c>
    </row>
    <row r="12">
      <c r="A12" t="inlineStr" s="0">
        <is>
          <t>CONECTOR-DC</t>
        </is>
      </c>
      <c r="B12" t="inlineStr" s="0">
        <is>
          <t>Conector DC</t>
        </is>
      </c>
      <c r="C12" t="inlineStr" s="0">
        <is>
          <t>Conector DC macho/hembra</t>
        </is>
      </c>
      <c r="D12" s="0">
        <v>0.3</v>
      </c>
      <c r="E12" s="0">
        <v>0.9</v>
      </c>
      <c r="F12" s="0">
        <v>0.7</v>
      </c>
      <c r="G12" t="inlineStr" s="0">
        <is>
          <t>S</t>
        </is>
      </c>
    </row>
    <row r="13">
      <c r="A13" t="inlineStr" s="0">
        <is>
          <t>UTP-CAT5E</t>
        </is>
      </c>
      <c r="B13" t="inlineStr" s="0">
        <is>
          <t>Cable UTP Cat5e</t>
        </is>
      </c>
      <c r="C13" t="inlineStr" s="0">
        <is>
          <t>Bobina 305m cobre CCA</t>
        </is>
      </c>
      <c r="D13" s="0">
        <v>55</v>
      </c>
      <c r="E13" s="0">
        <v>92</v>
      </c>
      <c r="F13" s="0">
        <v>80</v>
      </c>
      <c r="G13" t="inlineStr" s="0">
        <is>
          <t>S</t>
        </is>
      </c>
    </row>
    <row r="14">
      <c r="A14" t="inlineStr" s="0">
        <is>
          <t>CAJA-PASO</t>
        </is>
      </c>
      <c r="B14" t="inlineStr" s="0">
        <is>
          <t>Caja de paso</t>
        </is>
      </c>
      <c r="C14" t="inlineStr" s="0">
        <is>
          <t>Caja plastica 10x10 cm</t>
        </is>
      </c>
      <c r="D14" s="0">
        <v>1.4</v>
      </c>
      <c r="E14" s="0">
        <v>3.5</v>
      </c>
      <c r="F14" s="0">
        <v>3</v>
      </c>
      <c r="G14" t="inlineStr" s="0">
        <is>
          <t>S</t>
        </is>
      </c>
    </row>
    <row r="15">
      <c r="A15" t="inlineStr" s="0">
        <is>
          <t>BALUN-HD</t>
        </is>
      </c>
      <c r="B15" t="inlineStr" s="0">
        <is>
          <t>Balun HD</t>
        </is>
      </c>
      <c r="C15" t="inlineStr" s="0">
        <is>
          <t>Transceptor pasivo HD CVI/TVI/AHD</t>
        </is>
      </c>
      <c r="D15" s="0">
        <v>1.2</v>
      </c>
      <c r="E15" s="0">
        <v>3.2</v>
      </c>
      <c r="F15" s="0">
        <v>2.8</v>
      </c>
      <c r="G15" t="inlineStr" s="0">
        <is>
          <t>S</t>
        </is>
      </c>
    </row>
    <row r="16">
      <c r="A16" t="inlineStr" s="0">
        <is>
          <t>SWITCH-8P</t>
        </is>
      </c>
      <c r="B16" t="inlineStr" s="0">
        <is>
          <t>Switch 8 Puertos</t>
        </is>
      </c>
      <c r="C16" t="inlineStr" s="0">
        <is>
          <t>Fast Ethernet 10/100</t>
        </is>
      </c>
      <c r="D16" s="0">
        <v>14</v>
      </c>
      <c r="E16" s="0">
        <v>27</v>
      </c>
      <c r="F16" s="0">
        <v>23</v>
      </c>
      <c r="G16" t="inlineStr" s="0">
        <is>
          <t>S</t>
        </is>
      </c>
    </row>
    <row r="17">
      <c r="A17" t="inlineStr" s="0">
        <is>
          <t>RACK-6U</t>
        </is>
      </c>
      <c r="B17" t="inlineStr" s="0">
        <is>
          <t>Rack mural 6U</t>
        </is>
      </c>
      <c r="C17" t="inlineStr" s="0">
        <is>
          <t>Gabinete mural con llave</t>
        </is>
      </c>
      <c r="D17" s="0">
        <v>45</v>
      </c>
      <c r="E17" s="0">
        <v>80</v>
      </c>
      <c r="F17" s="0">
        <v>70</v>
      </c>
      <c r="G17" t="inlineStr" s="0">
        <is>
          <t>S</t>
        </is>
      </c>
    </row>
    <row r="18">
      <c r="A18" t="inlineStr" s="0">
        <is>
          <t>MO-PUNTO</t>
        </is>
      </c>
      <c r="B18" t="inlineStr" s="0">
        <is>
          <t>Mano de obra por punto</t>
        </is>
      </c>
      <c r="C18" t="inlineStr" s="0">
        <is>
          <t>Instalacion de sistema CCTV (por punto instalado)</t>
        </is>
      </c>
      <c r="D18" s="0">
        <v>0</v>
      </c>
      <c r="E18" s="0">
        <v>180</v>
      </c>
      <c r="F18" s="0">
        <v>0</v>
      </c>
      <c r="G18" t="inlineStr" s="0">
        <is>
          <t>S</t>
        </is>
      </c>
    </row>
  </sheetData>
  <pageMargins left="0.3" right="0.3" top="0.5" bottom="0.5" header="0.3" footer="0.3"/>
  <pageSetup paperSize="1" orientation="portrait" fitToWidth="1" fitToHeight="0"/>
</worksheet>
</file>

<file path=xl/worksheets/sheet2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CLIENTES</t>
        </is>
      </c>
    </row>
    <row r="2">
      <c r="A2" t="inlineStr" s="2">
        <is>
          <t>NOMBRE</t>
        </is>
      </c>
      <c r="B2" t="inlineStr" s="2">
        <is>
          <t>NIT/CI</t>
        </is>
      </c>
      <c r="C2" t="inlineStr" s="2">
        <is>
          <t>CIUDAD</t>
        </is>
      </c>
      <c r="D2" t="inlineStr" s="2">
        <is>
          <t>CONTACTO</t>
        </is>
      </c>
      <c r="E2" t="inlineStr" s="2">
        <is>
          <t>EMAIL</t>
        </is>
      </c>
    </row>
    <row r="3">
      <c r="A3" t="inlineStr">
        <is>
          <t>Cliente Demo</t>
        </is>
      </c>
      <c r="B3" t="inlineStr">
        <is>
          <t>1234567</t>
        </is>
      </c>
      <c r="C3" t="inlineStr">
        <is>
          <t>La Paz</t>
        </is>
      </c>
      <c r="D3" t="inlineStr">
        <is>
          <t>70000000</t>
        </is>
      </c>
      <c r="E3" t="inlineStr">
        <is>
          <t>demo@cliente.com</t>
        </is>
      </c>
    </row>
  </sheetData>
  <pageMargins left="0.3" right="0.3" top="0.5" bottom="0.5" header="0.3" footer="0.3"/>
  <pageSetup paperSize="1" orientation="portrait" fitToWidth="1" fitToHeight="0"/>
</worksheet>
</file>

<file path=xl/worksheets/sheet3.xml><?xml version="1.0" encoding="utf-8"?>
<worksheet xmlns="http://schemas.openxmlformats.org/spreadsheetml/2006/main" xmlns:r="http://schemas.openxmlformats.org/officeDocument/2006/relationships">
  <cols>
    <col min="1" max="1" width="6" customWidth="1"/>
    <col min="2" max="2" width="16" customWidth="1"/>
    <col min="3" max="3" width="45" customWidth="1"/>
    <col min="4" max="4" width="10" customWidth="1"/>
    <col min="5" max="6" width="14" customWidth="1"/>
    <col min="7" max="10" width="12" hidden="1" customWidth="1"/>
  </cols>
  <sheetData>
    <row r="1">
      <c r="A1" t="inlineStr" s="1">
        <is>
          <t>JM-VISION | COTIZACION</t>
        </is>
      </c>
      <c r="F1" t="inlineStr" s="2">
        <is>
          <t>Nro Cotizacion</t>
        </is>
      </c>
      <c r="G1" t="inlineStr" s="3">
        <is>
          <t>COT-0001</t>
        </is>
      </c>
    </row>
    <row r="2">
      <c r="A2" t="inlineStr" s="2">
        <is>
          <t>Cliente</t>
        </is>
      </c>
      <c r="B2" t="inlineStr" s="3">
        <is>
          <t>Cliente Demo</t>
        </is>
      </c>
      <c r="D2" t="inlineStr" s="2">
        <is>
          <t>NIT/CI</t>
        </is>
      </c>
      <c r="E2" t="inlineStr" s="3">
        <is>
          <t>1234567</t>
        </is>
      </c>
      <c r="F2" t="inlineStr" s="2">
        <is>
          <t>Fecha</t>
        </is>
      </c>
      <c r="G2" t="inlineStr" s="3">
        <is>
          <t>2026-03-04</t>
        </is>
      </c>
    </row>
    <row r="3">
      <c r="A3" t="inlineStr" s="2">
        <is>
          <t>Ciudad</t>
        </is>
      </c>
      <c r="B3" t="inlineStr" s="3">
        <is>
          <t>La Paz</t>
        </is>
      </c>
      <c r="D3" t="inlineStr" s="2">
        <is>
          <t>Forma de pago</t>
        </is>
      </c>
      <c r="E3" t="inlineStr" s="3">
        <is>
          <t>Contado</t>
        </is>
      </c>
      <c r="F3" t="inlineStr" s="2">
        <is>
          <t>TipoCliente</t>
        </is>
      </c>
      <c r="G3" t="inlineStr" s="3">
        <is>
          <t>Final</t>
        </is>
      </c>
    </row>
    <row r="4">
      <c r="A4" t="inlineStr" s="2">
        <is>
          <t>Contacto</t>
        </is>
      </c>
      <c r="B4" t="inlineStr" s="3">
        <is>
          <t>70000000</t>
        </is>
      </c>
      <c r="D4" t="inlineStr" s="2">
        <is>
          <t>Direccion</t>
        </is>
      </c>
      <c r="E4" t="inlineStr" s="3">
        <is>
          <t>Av. Ejemplo 123</t>
        </is>
      </c>
      <c r="F4" t="inlineStr" s="2">
        <is>
          <t>Email</t>
        </is>
      </c>
      <c r="G4" t="inlineStr" s="3">
        <is>
          <t>demo@cliente.com</t>
        </is>
      </c>
    </row>
    <row r="6">
      <c r="A6" t="inlineStr" s="2">
        <is>
          <t>ITEM</t>
        </is>
      </c>
      <c r="B6" t="inlineStr" s="2">
        <is>
          <t>CODIGO</t>
        </is>
      </c>
      <c r="C6" t="inlineStr" s="2">
        <is>
          <t>DESCRIPCION</t>
        </is>
      </c>
      <c r="D6" t="inlineStr" s="2">
        <is>
          <t>CANTIDAD</t>
        </is>
      </c>
      <c r="E6" t="inlineStr" s="2">
        <is>
          <t>PRECIO UNI</t>
        </is>
      </c>
      <c r="F6" t="inlineStr" s="2">
        <is>
          <t>TOTAL Bs</t>
        </is>
      </c>
      <c r="G6" t="inlineStr" s="2">
        <is>
          <t>COSTO UNI</t>
        </is>
      </c>
      <c r="H6" t="inlineStr" s="2">
        <is>
          <t>COSTO TOTAL</t>
        </is>
      </c>
      <c r="I6" t="inlineStr" s="2">
        <is>
          <t>GANANCIA</t>
        </is>
      </c>
      <c r="J6" t="inlineStr" s="2">
        <is>
          <t>MARGEN %</t>
        </is>
      </c>
    </row>
    <row r="7">
      <c r="A7" s="0">
        <v>1</v>
      </c>
      <c r="B7" t="inlineStr" s="3">
        <is>
          <t>CAM-2MP-DOMO</t>
        </is>
      </c>
      <c r="C7" s="4">
        <f>IF(B7="","",INDEX(PRODUCTOS!$B:$B,MATCH(B7,PRODUCTOS!$A:$A,0))&amp;CHAR(10)&amp;INDEX(PRODUCTOS!$C:$C,MATCH(B7,PRODUCTOS!$A:$A,0)))</f>
      </c>
      <c r="D7" s="3">
        <v>4</v>
      </c>
      <c r="E7" s="3">
        <f>IF(B7="","",IF($G$3="Final",INDEX(PRODUCTOS!$E:$E,MATCH(B7,PRODUCTOS!$A:$A,0)),INDEX(PRODUCTOS!$F:$F,MATCH(B7,PRODUCTOS!$A:$A,0))))</f>
      </c>
      <c r="F7" s="3">
        <f>IFERROR(D7*E7,0)</f>
      </c>
      <c r="G7" s="3">
        <f>IF(B7="","",INDEX(PRODUCTOS!$D:$D,MATCH(B7,PRODUCTOS!$A:$A,0)))</f>
      </c>
      <c r="H7" s="3">
        <f>IFERROR(D7*G7,0)</f>
      </c>
      <c r="I7" s="3">
        <f>IFERROR(F7-H7,0)</f>
      </c>
      <c r="J7" s="5">
        <f>IFERROR(I7/F7,0)</f>
      </c>
    </row>
    <row r="8">
      <c r="A8" s="0">
        <v>2</v>
      </c>
      <c r="B8" t="inlineStr" s="3">
        <is>
          <t>CAM-2MP-BALA</t>
        </is>
      </c>
      <c r="C8" s="4">
        <f>IF(B8="","",INDEX(PRODUCTOS!$B:$B,MATCH(B8,PRODUCTOS!$A:$A,0))&amp;CHAR(10)&amp;INDEX(PRODUCTOS!$C:$C,MATCH(B8,PRODUCTOS!$A:$A,0)))</f>
      </c>
      <c r="D8" s="3">
        <v>4</v>
      </c>
      <c r="E8" s="3">
        <f>IF(B8="","",IF($G$3="Final",INDEX(PRODUCTOS!$E:$E,MATCH(B8,PRODUCTOS!$A:$A,0)),INDEX(PRODUCTOS!$F:$F,MATCH(B8,PRODUCTOS!$A:$A,0))))</f>
      </c>
      <c r="F8" s="3">
        <f>IFERROR(D8*E8,0)</f>
      </c>
      <c r="G8" s="3">
        <f>IF(B8="","",INDEX(PRODUCTOS!$D:$D,MATCH(B8,PRODUCTOS!$A:$A,0)))</f>
      </c>
      <c r="H8" s="3">
        <f>IFERROR(D8*G8,0)</f>
      </c>
      <c r="I8" s="3">
        <f>IFERROR(F8-H8,0)</f>
      </c>
      <c r="J8" s="5">
        <f>IFERROR(I8/F8,0)</f>
      </c>
    </row>
    <row r="9">
      <c r="A9" s="0">
        <v>3</v>
      </c>
      <c r="B9" t="inlineStr" s="3">
        <is>
          <t>DVR-8CH-XM</t>
        </is>
      </c>
      <c r="C9" s="4">
        <f>IF(B9="","",INDEX(PRODUCTOS!$B:$B,MATCH(B9,PRODUCTOS!$A:$A,0))&amp;CHAR(10)&amp;INDEX(PRODUCTOS!$C:$C,MATCH(B9,PRODUCTOS!$A:$A,0)))</f>
      </c>
      <c r="D9" s="3">
        <v>1</v>
      </c>
      <c r="E9" s="3">
        <f>IF(B9="","",IF($G$3="Final",INDEX(PRODUCTOS!$E:$E,MATCH(B9,PRODUCTOS!$A:$A,0)),INDEX(PRODUCTOS!$F:$F,MATCH(B9,PRODUCTOS!$A:$A,0))))</f>
      </c>
      <c r="F9" s="3">
        <f>IFERROR(D9*E9,0)</f>
      </c>
      <c r="G9" s="3">
        <f>IF(B9="","",INDEX(PRODUCTOS!$D:$D,MATCH(B9,PRODUCTOS!$A:$A,0)))</f>
      </c>
      <c r="H9" s="3">
        <f>IFERROR(D9*G9,0)</f>
      </c>
      <c r="I9" s="3">
        <f>IFERROR(F9-H9,0)</f>
      </c>
      <c r="J9" s="5">
        <f>IFERROR(I9/F9,0)</f>
      </c>
    </row>
    <row r="10">
      <c r="A10" s="0">
        <v>4</v>
      </c>
      <c r="B10" t="inlineStr" s="3">
        <is>
          <t>HDD-1TB-WD</t>
        </is>
      </c>
      <c r="C10" s="4">
        <f>IF(B10="","",INDEX(PRODUCTOS!$B:$B,MATCH(B10,PRODUCTOS!$A:$A,0))&amp;CHAR(10)&amp;INDEX(PRODUCTOS!$C:$C,MATCH(B10,PRODUCTOS!$A:$A,0)))</f>
      </c>
      <c r="D10" s="3">
        <v>1</v>
      </c>
      <c r="E10" s="3">
        <f>IF(B10="","",IF($G$3="Final",INDEX(PRODUCTOS!$E:$E,MATCH(B10,PRODUCTOS!$A:$A,0)),INDEX(PRODUCTOS!$F:$F,MATCH(B10,PRODUCTOS!$A:$A,0))))</f>
      </c>
      <c r="F10" s="3">
        <f>IFERROR(D10*E10,0)</f>
      </c>
      <c r="G10" s="3">
        <f>IF(B10="","",INDEX(PRODUCTOS!$D:$D,MATCH(B10,PRODUCTOS!$A:$A,0)))</f>
      </c>
      <c r="H10" s="3">
        <f>IFERROR(D10*G10,0)</f>
      </c>
      <c r="I10" s="3">
        <f>IFERROR(F10-H10,0)</f>
      </c>
      <c r="J10" s="5">
        <f>IFERROR(I10/F10,0)</f>
      </c>
    </row>
    <row r="11">
      <c r="A11" s="0">
        <v>5</v>
      </c>
      <c r="B11" t="inlineStr" s="3">
        <is>
          <t>FUENTE-12V10A</t>
        </is>
      </c>
      <c r="C11" s="4">
        <f>IF(B11="","",INDEX(PRODUCTOS!$B:$B,MATCH(B11,PRODUCTOS!$A:$A,0))&amp;CHAR(10)&amp;INDEX(PRODUCTOS!$C:$C,MATCH(B11,PRODUCTOS!$A:$A,0)))</f>
      </c>
      <c r="D11" s="3">
        <v>1</v>
      </c>
      <c r="E11" s="3">
        <f>IF(B11="","",IF($G$3="Final",INDEX(PRODUCTOS!$E:$E,MATCH(B11,PRODUCTOS!$A:$A,0)),INDEX(PRODUCTOS!$F:$F,MATCH(B11,PRODUCTOS!$A:$A,0))))</f>
      </c>
      <c r="F11" s="3">
        <f>IFERROR(D11*E11,0)</f>
      </c>
      <c r="G11" s="3">
        <f>IF(B11="","",INDEX(PRODUCTOS!$D:$D,MATCH(B11,PRODUCTOS!$A:$A,0)))</f>
      </c>
      <c r="H11" s="3">
        <f>IFERROR(D11*G11,0)</f>
      </c>
      <c r="I11" s="3">
        <f>IFERROR(F11-H11,0)</f>
      </c>
      <c r="J11" s="5">
        <f>IFERROR(I11/F11,0)</f>
      </c>
    </row>
    <row r="12">
      <c r="A12" s="0">
        <v>6</v>
      </c>
      <c r="B12" t="inlineStr" s="3">
        <is>
          <t>UTP-CAT5E</t>
        </is>
      </c>
      <c r="C12" s="4">
        <f>IF(B12="","",INDEX(PRODUCTOS!$B:$B,MATCH(B12,PRODUCTOS!$A:$A,0))&amp;CHAR(10)&amp;INDEX(PRODUCTOS!$C:$C,MATCH(B12,PRODUCTOS!$A:$A,0)))</f>
      </c>
      <c r="D12" s="3">
        <v>1</v>
      </c>
      <c r="E12" s="3">
        <f>IF(B12="","",IF($G$3="Final",INDEX(PRODUCTOS!$E:$E,MATCH(B12,PRODUCTOS!$A:$A,0)),INDEX(PRODUCTOS!$F:$F,MATCH(B12,PRODUCTOS!$A:$A,0))))</f>
      </c>
      <c r="F12" s="3">
        <f>IFERROR(D12*E12,0)</f>
      </c>
      <c r="G12" s="3">
        <f>IF(B12="","",INDEX(PRODUCTOS!$D:$D,MATCH(B12,PRODUCTOS!$A:$A,0)))</f>
      </c>
      <c r="H12" s="3">
        <f>IFERROR(D12*G12,0)</f>
      </c>
      <c r="I12" s="3">
        <f>IFERROR(F12-H12,0)</f>
      </c>
      <c r="J12" s="5">
        <f>IFERROR(I12/F12,0)</f>
      </c>
    </row>
    <row r="13">
      <c r="A13" s="0">
        <v>7</v>
      </c>
      <c r="B13" t="inlineStr" s="3">
        <is>
          <t>MO-PUNTO</t>
        </is>
      </c>
      <c r="C13" s="4">
        <f>IF(B13="","",INDEX(PRODUCTOS!$B:$B,MATCH(B13,PRODUCTOS!$A:$A,0))&amp;CHAR(10)&amp;INDEX(PRODUCTOS!$C:$C,MATCH(B13,PRODUCTOS!$A:$A,0)))</f>
      </c>
      <c r="D13" s="3">
        <v>4</v>
      </c>
      <c r="E13" s="3">
        <f>IF(B13="","",IF($G$3="Final",INDEX(PRODUCTOS!$E:$E,MATCH(B13,PRODUCTOS!$A:$A,0)),INDEX(PRODUCTOS!$F:$F,MATCH(B13,PRODUCTOS!$A:$A,0))))</f>
      </c>
      <c r="F13" s="3">
        <f>IFERROR(D13*E13,0)</f>
      </c>
      <c r="G13" s="3">
        <f>IF(B13="","",INDEX(PRODUCTOS!$D:$D,MATCH(B13,PRODUCTOS!$A:$A,0)))</f>
      </c>
      <c r="H13" s="3">
        <f>IFERROR(D13*G13,0)</f>
      </c>
      <c r="I13" s="3">
        <f>IFERROR(F13-H13,0)</f>
      </c>
      <c r="J13" s="5">
        <f>IFERROR(I13/F13,0)</f>
      </c>
    </row>
    <row r="14">
      <c r="A14" s="0">
        <v>8</v>
      </c>
      <c r="B14" t="inlineStr" s="3">
        <is>
          <t>CAJA-PASO</t>
        </is>
      </c>
      <c r="C14" s="4">
        <f>IF(B14="","",INDEX(PRODUCTOS!$B:$B,MATCH(B14,PRODUCTOS!$A:$A,0))&amp;CHAR(10)&amp;INDEX(PRODUCTOS!$C:$C,MATCH(B14,PRODUCTOS!$A:$A,0)))</f>
      </c>
      <c r="D14" s="3">
        <v>4</v>
      </c>
      <c r="E14" s="3">
        <f>IF(B14="","",IF($G$3="Final",INDEX(PRODUCTOS!$E:$E,MATCH(B14,PRODUCTOS!$A:$A,0)),INDEX(PRODUCTOS!$F:$F,MATCH(B14,PRODUCTOS!$A:$A,0))))</f>
      </c>
      <c r="F14" s="3">
        <f>IFERROR(D14*E14,0)</f>
      </c>
      <c r="G14" s="3">
        <f>IF(B14="","",INDEX(PRODUCTOS!$D:$D,MATCH(B14,PRODUCTOS!$A:$A,0)))</f>
      </c>
      <c r="H14" s="3">
        <f>IFERROR(D14*G14,0)</f>
      </c>
      <c r="I14" s="3">
        <f>IFERROR(F14-H14,0)</f>
      </c>
      <c r="J14" s="5">
        <f>IFERROR(I14/F14,0)</f>
      </c>
    </row>
    <row r="15">
      <c r="A15" s="0">
        <v>9</v>
      </c>
      <c r="B15" t="inlineStr" s="3">
        <is>
          <t/>
        </is>
      </c>
      <c r="C15" s="4">
        <f>IF(B15="","",INDEX(PRODUCTOS!$B:$B,MATCH(B15,PRODUCTOS!$A:$A,0))&amp;CHAR(10)&amp;INDEX(PRODUCTOS!$C:$C,MATCH(B15,PRODUCTOS!$A:$A,0)))</f>
      </c>
      <c r="D15" s="0"/>
      <c r="E15" s="3">
        <f>IF(B15="","",IF($G$3="Final",INDEX(PRODUCTOS!$E:$E,MATCH(B15,PRODUCTOS!$A:$A,0)),INDEX(PRODUCTOS!$F:$F,MATCH(B15,PRODUCTOS!$A:$A,0))))</f>
      </c>
      <c r="F15" s="3">
        <f>IFERROR(D15*E15,0)</f>
      </c>
      <c r="G15" s="3">
        <f>IF(B15="","",INDEX(PRODUCTOS!$D:$D,MATCH(B15,PRODUCTOS!$A:$A,0)))</f>
      </c>
      <c r="H15" s="3">
        <f>IFERROR(D15*G15,0)</f>
      </c>
      <c r="I15" s="3">
        <f>IFERROR(F15-H15,0)</f>
      </c>
      <c r="J15" s="5">
        <f>IFERROR(I15/F15,0)</f>
      </c>
    </row>
    <row r="16">
      <c r="A16" s="0">
        <v>10</v>
      </c>
      <c r="B16" t="inlineStr" s="3">
        <is>
          <t/>
        </is>
      </c>
      <c r="C16" s="4">
        <f>IF(B16="","",INDEX(PRODUCTOS!$B:$B,MATCH(B16,PRODUCTOS!$A:$A,0))&amp;CHAR(10)&amp;INDEX(PRODUCTOS!$C:$C,MATCH(B16,PRODUCTOS!$A:$A,0)))</f>
      </c>
      <c r="D16" s="0"/>
      <c r="E16" s="3">
        <f>IF(B16="","",IF($G$3="Final",INDEX(PRODUCTOS!$E:$E,MATCH(B16,PRODUCTOS!$A:$A,0)),INDEX(PRODUCTOS!$F:$F,MATCH(B16,PRODUCTOS!$A:$A,0))))</f>
      </c>
      <c r="F16" s="3">
        <f>IFERROR(D16*E16,0)</f>
      </c>
      <c r="G16" s="3">
        <f>IF(B16="","",INDEX(PRODUCTOS!$D:$D,MATCH(B16,PRODUCTOS!$A:$A,0)))</f>
      </c>
      <c r="H16" s="3">
        <f>IFERROR(D16*G16,0)</f>
      </c>
      <c r="I16" s="3">
        <f>IFERROR(F16-H16,0)</f>
      </c>
      <c r="J16" s="5">
        <f>IFERROR(I16/F16,0)</f>
      </c>
    </row>
    <row r="17">
      <c r="A17" s="0">
        <v>11</v>
      </c>
      <c r="B17" t="inlineStr" s="3">
        <is>
          <t/>
        </is>
      </c>
      <c r="C17" s="4">
        <f>IF(B17="","",INDEX(PRODUCTOS!$B:$B,MATCH(B17,PRODUCTOS!$A:$A,0))&amp;CHAR(10)&amp;INDEX(PRODUCTOS!$C:$C,MATCH(B17,PRODUCTOS!$A:$A,0)))</f>
      </c>
      <c r="D17" s="0"/>
      <c r="E17" s="3">
        <f>IF(B17="","",IF($G$3="Final",INDEX(PRODUCTOS!$E:$E,MATCH(B17,PRODUCTOS!$A:$A,0)),INDEX(PRODUCTOS!$F:$F,MATCH(B17,PRODUCTOS!$A:$A,0))))</f>
      </c>
      <c r="F17" s="3">
        <f>IFERROR(D17*E17,0)</f>
      </c>
      <c r="G17" s="3">
        <f>IF(B17="","",INDEX(PRODUCTOS!$D:$D,MATCH(B17,PRODUCTOS!$A:$A,0)))</f>
      </c>
      <c r="H17" s="3">
        <f>IFERROR(D17*G17,0)</f>
      </c>
      <c r="I17" s="3">
        <f>IFERROR(F17-H17,0)</f>
      </c>
      <c r="J17" s="5">
        <f>IFERROR(I17/F17,0)</f>
      </c>
    </row>
    <row r="18">
      <c r="A18" s="0">
        <v>12</v>
      </c>
      <c r="B18" t="inlineStr" s="3">
        <is>
          <t/>
        </is>
      </c>
      <c r="C18" s="4">
        <f>IF(B18="","",INDEX(PRODUCTOS!$B:$B,MATCH(B18,PRODUCTOS!$A:$A,0))&amp;CHAR(10)&amp;INDEX(PRODUCTOS!$C:$C,MATCH(B18,PRODUCTOS!$A:$A,0)))</f>
      </c>
      <c r="D18" s="0"/>
      <c r="E18" s="3">
        <f>IF(B18="","",IF($G$3="Final",INDEX(PRODUCTOS!$E:$E,MATCH(B18,PRODUCTOS!$A:$A,0)),INDEX(PRODUCTOS!$F:$F,MATCH(B18,PRODUCTOS!$A:$A,0))))</f>
      </c>
      <c r="F18" s="3">
        <f>IFERROR(D18*E18,0)</f>
      </c>
      <c r="G18" s="3">
        <f>IF(B18="","",INDEX(PRODUCTOS!$D:$D,MATCH(B18,PRODUCTOS!$A:$A,0)))</f>
      </c>
      <c r="H18" s="3">
        <f>IFERROR(D18*G18,0)</f>
      </c>
      <c r="I18" s="3">
        <f>IFERROR(F18-H18,0)</f>
      </c>
      <c r="J18" s="5">
        <f>IFERROR(I18/F18,0)</f>
      </c>
    </row>
    <row r="19">
      <c r="A19" s="0">
        <v>13</v>
      </c>
      <c r="B19" t="inlineStr" s="3">
        <is>
          <t/>
        </is>
      </c>
      <c r="C19" s="4">
        <f>IF(B19="","",INDEX(PRODUCTOS!$B:$B,MATCH(B19,PRODUCTOS!$A:$A,0))&amp;CHAR(10)&amp;INDEX(PRODUCTOS!$C:$C,MATCH(B19,PRODUCTOS!$A:$A,0)))</f>
      </c>
      <c r="D19" s="0"/>
      <c r="E19" s="3">
        <f>IF(B19="","",IF($G$3="Final",INDEX(PRODUCTOS!$E:$E,MATCH(B19,PRODUCTOS!$A:$A,0)),INDEX(PRODUCTOS!$F:$F,MATCH(B19,PRODUCTOS!$A:$A,0))))</f>
      </c>
      <c r="F19" s="3">
        <f>IFERROR(D19*E19,0)</f>
      </c>
      <c r="G19" s="3">
        <f>IF(B19="","",INDEX(PRODUCTOS!$D:$D,MATCH(B19,PRODUCTOS!$A:$A,0)))</f>
      </c>
      <c r="H19" s="3">
        <f>IFERROR(D19*G19,0)</f>
      </c>
      <c r="I19" s="3">
        <f>IFERROR(F19-H19,0)</f>
      </c>
      <c r="J19" s="5">
        <f>IFERROR(I19/F19,0)</f>
      </c>
    </row>
    <row r="20">
      <c r="A20" s="0">
        <v>14</v>
      </c>
      <c r="B20" t="inlineStr" s="3">
        <is>
          <t/>
        </is>
      </c>
      <c r="C20" s="4">
        <f>IF(B20="","",INDEX(PRODUCTOS!$B:$B,MATCH(B20,PRODUCTOS!$A:$A,0))&amp;CHAR(10)&amp;INDEX(PRODUCTOS!$C:$C,MATCH(B20,PRODUCTOS!$A:$A,0)))</f>
      </c>
      <c r="D20" s="0"/>
      <c r="E20" s="3">
        <f>IF(B20="","",IF($G$3="Final",INDEX(PRODUCTOS!$E:$E,MATCH(B20,PRODUCTOS!$A:$A,0)),INDEX(PRODUCTOS!$F:$F,MATCH(B20,PRODUCTOS!$A:$A,0))))</f>
      </c>
      <c r="F20" s="3">
        <f>IFERROR(D20*E20,0)</f>
      </c>
      <c r="G20" s="3">
        <f>IF(B20="","",INDEX(PRODUCTOS!$D:$D,MATCH(B20,PRODUCTOS!$A:$A,0)))</f>
      </c>
      <c r="H20" s="3">
        <f>IFERROR(D20*G20,0)</f>
      </c>
      <c r="I20" s="3">
        <f>IFERROR(F20-H20,0)</f>
      </c>
      <c r="J20" s="5">
        <f>IFERROR(I20/F20,0)</f>
      </c>
    </row>
    <row r="21">
      <c r="A21" s="0">
        <v>15</v>
      </c>
      <c r="B21" t="inlineStr" s="3">
        <is>
          <t/>
        </is>
      </c>
      <c r="C21" s="4">
        <f>IF(B21="","",INDEX(PRODUCTOS!$B:$B,MATCH(B21,PRODUCTOS!$A:$A,0))&amp;CHAR(10)&amp;INDEX(PRODUCTOS!$C:$C,MATCH(B21,PRODUCTOS!$A:$A,0)))</f>
      </c>
      <c r="D21" s="0"/>
      <c r="E21" s="3">
        <f>IF(B21="","",IF($G$3="Final",INDEX(PRODUCTOS!$E:$E,MATCH(B21,PRODUCTOS!$A:$A,0)),INDEX(PRODUCTOS!$F:$F,MATCH(B21,PRODUCTOS!$A:$A,0))))</f>
      </c>
      <c r="F21" s="3">
        <f>IFERROR(D21*E21,0)</f>
      </c>
      <c r="G21" s="3">
        <f>IF(B21="","",INDEX(PRODUCTOS!$D:$D,MATCH(B21,PRODUCTOS!$A:$A,0)))</f>
      </c>
      <c r="H21" s="3">
        <f>IFERROR(D21*G21,0)</f>
      </c>
      <c r="I21" s="3">
        <f>IFERROR(F21-H21,0)</f>
      </c>
      <c r="J21" s="5">
        <f>IFERROR(I21/F21,0)</f>
      </c>
    </row>
    <row r="22">
      <c r="A22" s="0">
        <v>16</v>
      </c>
      <c r="B22" t="inlineStr" s="3">
        <is>
          <t/>
        </is>
      </c>
      <c r="C22" s="4">
        <f>IF(B22="","",INDEX(PRODUCTOS!$B:$B,MATCH(B22,PRODUCTOS!$A:$A,0))&amp;CHAR(10)&amp;INDEX(PRODUCTOS!$C:$C,MATCH(B22,PRODUCTOS!$A:$A,0)))</f>
      </c>
      <c r="D22" s="0"/>
      <c r="E22" s="3">
        <f>IF(B22="","",IF($G$3="Final",INDEX(PRODUCTOS!$E:$E,MATCH(B22,PRODUCTOS!$A:$A,0)),INDEX(PRODUCTOS!$F:$F,MATCH(B22,PRODUCTOS!$A:$A,0))))</f>
      </c>
      <c r="F22" s="3">
        <f>IFERROR(D22*E22,0)</f>
      </c>
      <c r="G22" s="3">
        <f>IF(B22="","",INDEX(PRODUCTOS!$D:$D,MATCH(B22,PRODUCTOS!$A:$A,0)))</f>
      </c>
      <c r="H22" s="3">
        <f>IFERROR(D22*G22,0)</f>
      </c>
      <c r="I22" s="3">
        <f>IFERROR(F22-H22,0)</f>
      </c>
      <c r="J22" s="5">
        <f>IFERROR(I22/F22,0)</f>
      </c>
    </row>
    <row r="23">
      <c r="A23" s="0">
        <v>17</v>
      </c>
      <c r="B23" t="inlineStr" s="3">
        <is>
          <t/>
        </is>
      </c>
      <c r="C23" s="4">
        <f>IF(B23="","",INDEX(PRODUCTOS!$B:$B,MATCH(B23,PRODUCTOS!$A:$A,0))&amp;CHAR(10)&amp;INDEX(PRODUCTOS!$C:$C,MATCH(B23,PRODUCTOS!$A:$A,0)))</f>
      </c>
      <c r="D23" s="0"/>
      <c r="E23" s="3">
        <f>IF(B23="","",IF($G$3="Final",INDEX(PRODUCTOS!$E:$E,MATCH(B23,PRODUCTOS!$A:$A,0)),INDEX(PRODUCTOS!$F:$F,MATCH(B23,PRODUCTOS!$A:$A,0))))</f>
      </c>
      <c r="F23" s="3">
        <f>IFERROR(D23*E23,0)</f>
      </c>
      <c r="G23" s="3">
        <f>IF(B23="","",INDEX(PRODUCTOS!$D:$D,MATCH(B23,PRODUCTOS!$A:$A,0)))</f>
      </c>
      <c r="H23" s="3">
        <f>IFERROR(D23*G23,0)</f>
      </c>
      <c r="I23" s="3">
        <f>IFERROR(F23-H23,0)</f>
      </c>
      <c r="J23" s="5">
        <f>IFERROR(I23/F23,0)</f>
      </c>
    </row>
    <row r="24">
      <c r="A24" s="0">
        <v>18</v>
      </c>
      <c r="B24" t="inlineStr" s="3">
        <is>
          <t/>
        </is>
      </c>
      <c r="C24" s="4">
        <f>IF(B24="","",INDEX(PRODUCTOS!$B:$B,MATCH(B24,PRODUCTOS!$A:$A,0))&amp;CHAR(10)&amp;INDEX(PRODUCTOS!$C:$C,MATCH(B24,PRODUCTOS!$A:$A,0)))</f>
      </c>
      <c r="D24" s="0"/>
      <c r="E24" s="3">
        <f>IF(B24="","",IF($G$3="Final",INDEX(PRODUCTOS!$E:$E,MATCH(B24,PRODUCTOS!$A:$A,0)),INDEX(PRODUCTOS!$F:$F,MATCH(B24,PRODUCTOS!$A:$A,0))))</f>
      </c>
      <c r="F24" s="3">
        <f>IFERROR(D24*E24,0)</f>
      </c>
      <c r="G24" s="3">
        <f>IF(B24="","",INDEX(PRODUCTOS!$D:$D,MATCH(B24,PRODUCTOS!$A:$A,0)))</f>
      </c>
      <c r="H24" s="3">
        <f>IFERROR(D24*G24,0)</f>
      </c>
      <c r="I24" s="3">
        <f>IFERROR(F24-H24,0)</f>
      </c>
      <c r="J24" s="5">
        <f>IFERROR(I24/F24,0)</f>
      </c>
    </row>
    <row r="25">
      <c r="A25" s="0">
        <v>19</v>
      </c>
      <c r="B25" t="inlineStr" s="3">
        <is>
          <t/>
        </is>
      </c>
      <c r="C25" s="4">
        <f>IF(B25="","",INDEX(PRODUCTOS!$B:$B,MATCH(B25,PRODUCTOS!$A:$A,0))&amp;CHAR(10)&amp;INDEX(PRODUCTOS!$C:$C,MATCH(B25,PRODUCTOS!$A:$A,0)))</f>
      </c>
      <c r="D25" s="0"/>
      <c r="E25" s="3">
        <f>IF(B25="","",IF($G$3="Final",INDEX(PRODUCTOS!$E:$E,MATCH(B25,PRODUCTOS!$A:$A,0)),INDEX(PRODUCTOS!$F:$F,MATCH(B25,PRODUCTOS!$A:$A,0))))</f>
      </c>
      <c r="F25" s="3">
        <f>IFERROR(D25*E25,0)</f>
      </c>
      <c r="G25" s="3">
        <f>IF(B25="","",INDEX(PRODUCTOS!$D:$D,MATCH(B25,PRODUCTOS!$A:$A,0)))</f>
      </c>
      <c r="H25" s="3">
        <f>IFERROR(D25*G25,0)</f>
      </c>
      <c r="I25" s="3">
        <f>IFERROR(F25-H25,0)</f>
      </c>
      <c r="J25" s="5">
        <f>IFERROR(I25/F25,0)</f>
      </c>
    </row>
    <row r="26">
      <c r="A26" s="0">
        <v>20</v>
      </c>
      <c r="B26" t="inlineStr" s="3">
        <is>
          <t/>
        </is>
      </c>
      <c r="C26" s="4">
        <f>IF(B26="","",INDEX(PRODUCTOS!$B:$B,MATCH(B26,PRODUCTOS!$A:$A,0))&amp;CHAR(10)&amp;INDEX(PRODUCTOS!$C:$C,MATCH(B26,PRODUCTOS!$A:$A,0)))</f>
      </c>
      <c r="D26" s="0"/>
      <c r="E26" s="3">
        <f>IF(B26="","",IF($G$3="Final",INDEX(PRODUCTOS!$E:$E,MATCH(B26,PRODUCTOS!$A:$A,0)),INDEX(PRODUCTOS!$F:$F,MATCH(B26,PRODUCTOS!$A:$A,0))))</f>
      </c>
      <c r="F26" s="3">
        <f>IFERROR(D26*E26,0)</f>
      </c>
      <c r="G26" s="3">
        <f>IF(B26="","",INDEX(PRODUCTOS!$D:$D,MATCH(B26,PRODUCTOS!$A:$A,0)))</f>
      </c>
      <c r="H26" s="3">
        <f>IFERROR(D26*G26,0)</f>
      </c>
      <c r="I26" s="3">
        <f>IFERROR(F26-H26,0)</f>
      </c>
      <c r="J26" s="5">
        <f>IFERROR(I26/F26,0)</f>
      </c>
    </row>
    <row r="29">
      <c r="E29" t="inlineStr" s="2">
        <is>
          <t>SUBTOTAL</t>
        </is>
      </c>
      <c r="F29" s="2">
        <f>SUM(F7:F26)</f>
      </c>
    </row>
    <row r="30">
      <c r="E30" t="inlineStr" s="2">
        <is>
          <t>IVA %</t>
        </is>
      </c>
      <c r="F30" s="3">
        <v>0</v>
      </c>
    </row>
    <row r="31">
      <c r="E31" t="inlineStr" s="1">
        <is>
          <t>TOTAL</t>
        </is>
      </c>
      <c r="F31" s="1">
        <f>F29*(1+F30)</f>
      </c>
      <c r="H31" t="inlineStr" s="2">
        <is>
          <t>Costo total</t>
        </is>
      </c>
      <c r="I31" s="2">
        <f>SUM(H7:H26)</f>
      </c>
      <c r="H32" t="inlineStr" s="2">
        <is>
          <t>Ganancia total</t>
        </is>
      </c>
      <c r="I32" s="2">
        <f>SUM(I7:I26)</f>
      </c>
      <c r="H33" t="inlineStr" s="2">
        <is>
          <t>Margen total</t>
        </is>
      </c>
      <c r="I33" s="2">
        <f>IFERROR(I32/F31,0)</f>
      </c>
    </row>
    <row r="35">
      <c r="A35" t="inlineStr" s="1">
        <is>
          <t>[ BOTON ] NUEVA COTIZACION</t>
        </is>
      </c>
      <c r="C35" t="inlineStr" s="1">
        <is>
          <t>[ BOTON ] GUARDAR EN HISTORICO</t>
        </is>
      </c>
      <c r="E35" t="inlineStr" s="1">
        <is>
          <t>[ BOTON ] CONVERTIR A VENTA</t>
        </is>
      </c>
      <c r="G35" t="inlineStr" s="1">
        <is>
          <t>[ BOTON ] EXPORTAR PDF (CARTA)</t>
        </is>
      </c>
    </row>
  </sheetData>
  <mergeCells count="1">
    <mergeCell ref="A1:E1"/>
  </mergeCells>
  <dataValidations count="1">
    <dataValidation type="list" allowBlank="1" sqref="G3">
      <formula1>"Final,Técnico"</formula1>
    </dataValidation>
  </dataValidations>
  <pageMargins left="0.3" right="0.3" top="0.5" bottom="0.5" header="0.3" footer="0.3"/>
  <pageSetup paperSize="1" orientation="portrait" fitToWidth="1" fitToHeight="0"/>
</worksheet>
</file>

<file path=xl/worksheets/sheet4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HISTORICO_COTIZACIONES</t>
        </is>
      </c>
    </row>
    <row r="2">
      <c r="A2" t="inlineStr" s="2">
        <is>
          <t>FECHA</t>
        </is>
      </c>
      <c r="B2" t="inlineStr" s="2">
        <is>
          <t>NRO</t>
        </is>
      </c>
      <c r="C2" t="inlineStr" s="2">
        <is>
          <t>CLIENTE</t>
        </is>
      </c>
      <c r="D2" t="inlineStr" s="2">
        <is>
          <t>TIPO</t>
        </is>
      </c>
      <c r="E2" t="inlineStr" s="2">
        <is>
          <t>SUBTOTAL</t>
        </is>
      </c>
      <c r="F2" t="inlineStr" s="2">
        <is>
          <t>TOTAL</t>
        </is>
      </c>
    </row>
    <row r="3">
      <c r="A3" t="inlineStr">
        <is>
          <t>2026-03-04</t>
        </is>
      </c>
      <c r="B3" t="inlineStr">
        <is>
          <t>COT-0001</t>
        </is>
      </c>
      <c r="C3" t="inlineStr">
        <is>
          <t>Cliente Demo</t>
        </is>
      </c>
      <c r="D3" t="inlineStr">
        <is>
          <t>Final</t>
        </is>
      </c>
      <c r="E3">
        <f>SUM(COTIZACION!F7:F26)</f>
      </c>
      <c r="F3">
        <f>COTIZACION!F31</f>
      </c>
    </row>
  </sheetData>
  <pageMargins left="0.3" right="0.3" top="0.5" bottom="0.5" header="0.3" footer="0.3"/>
  <pageSetup paperSize="1" orientation="portrait" fitToWidth="1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VENTAS</t>
        </is>
      </c>
    </row>
    <row r="2">
      <c r="A2" t="inlineStr" s="2">
        <is>
          <t>FECHA</t>
        </is>
      </c>
      <c r="B2" t="inlineStr" s="2">
        <is>
          <t>NRO</t>
        </is>
      </c>
      <c r="C2" t="inlineStr" s="2">
        <is>
          <t>CLIENTE</t>
        </is>
      </c>
      <c r="D2" t="inlineStr" s="2">
        <is>
          <t>TOTAL</t>
        </is>
      </c>
      <c r="E2" t="inlineStr" s="2">
        <is>
          <t>ESTADO</t>
        </is>
      </c>
    </row>
    <row r="3">
      <c r="A3" t="inlineStr">
        <is>
          <t>2026-03-04</t>
        </is>
      </c>
      <c r="B3" t="inlineStr">
        <is>
          <t>COT-0001</t>
        </is>
      </c>
      <c r="C3" t="inlineStr">
        <is>
          <t>Cliente Demo</t>
        </is>
      </c>
      <c r="D3">
        <f>COTIZACION!F31</f>
      </c>
      <c r="E3" t="inlineStr">
        <is>
          <t>Pendiente</t>
        </is>
      </c>
    </row>
  </sheetData>
  <pageMargins left="0.3" right="0.3" top="0.5" bottom="0.5" header="0.3" footer="0.3"/>
  <pageSetup paperSize="1" orientation="portrait" fitToWidth="1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DASHBOARD</t>
        </is>
      </c>
    </row>
    <row r="3">
      <c r="A3" t="inlineStr" s="2">
        <is>
          <t>Cotizaciones por mes</t>
        </is>
      </c>
      <c r="B3" s="3">
        <f>=COUNTIFS(HISTORICO!A:A,"&gt;="&amp;DATE(YEAR(TODAY()),MONTH(TODAY()),1))</f>
      </c>
    </row>
    <row r="4">
      <c r="A4" t="inlineStr" s="2">
        <is>
          <t>Ventas por mes</t>
        </is>
      </c>
      <c r="B4" s="3">
        <f>=COUNTIFS(VENTAS!A:A,"&gt;="&amp;DATE(YEAR(TODAY()),MONTH(TODAY()),1))</f>
      </c>
    </row>
    <row r="5">
      <c r="A5" t="inlineStr" s="2">
        <is>
          <t>% Conversion</t>
        </is>
      </c>
      <c r="B5" s="5">
        <f>=IFERROR(B4/B3,0)</f>
      </c>
    </row>
    <row r="7">
      <c r="A7" t="inlineStr" s="3">
        <is>
          <t>Nota: Graficos simples pueden crearse en Excel seleccionando esta tabla resumen.</t>
        </is>
      </c>
    </row>
  </sheetData>
  <pageMargins left="0.3" right="0.3" top="0.5" bottom="0.5" header="0.3" footer="0.3"/>
  <pageSetup paperSize="1" orientation="portrait" fitToWidth="1" fitToHeight="0"/>
</worksheet>
</file>